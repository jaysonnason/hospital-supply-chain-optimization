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Matman\11Jayson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C124" i="1" l="1"/>
  <c r="C108" i="1"/>
  <c r="B124" i="1" l="1"/>
  <c r="A124" i="1" s="1"/>
  <c r="B108" i="1"/>
  <c r="A108" i="1" s="1"/>
  <c r="C46" i="1"/>
  <c r="B46" i="1" s="1"/>
  <c r="A46" i="1" s="1"/>
  <c r="C93" i="1"/>
  <c r="C45" i="1"/>
  <c r="C92" i="1"/>
  <c r="C91" i="1"/>
  <c r="C44" i="1"/>
  <c r="C90" i="1"/>
  <c r="C43" i="1"/>
  <c r="C42" i="1"/>
  <c r="C89" i="1"/>
  <c r="C88" i="1"/>
  <c r="C41" i="1"/>
  <c r="B88" i="1" l="1"/>
  <c r="A88" i="1" s="1"/>
  <c r="C87" i="1"/>
  <c r="C40" i="1"/>
  <c r="B93" i="1" l="1"/>
  <c r="A93" i="1" s="1"/>
  <c r="B45" i="1"/>
  <c r="A45" i="1" s="1"/>
  <c r="B92" i="1"/>
  <c r="A92" i="1" s="1"/>
  <c r="B91" i="1"/>
  <c r="A91" i="1" s="1"/>
  <c r="B42" i="1"/>
  <c r="A42" i="1" s="1"/>
  <c r="B41" i="1"/>
  <c r="A41" i="1" s="1"/>
  <c r="B44" i="1"/>
  <c r="A44" i="1" s="1"/>
  <c r="B89" i="1"/>
  <c r="A89" i="1" s="1"/>
  <c r="B90" i="1"/>
  <c r="A90" i="1" s="1"/>
  <c r="B43" i="1"/>
  <c r="A43" i="1" s="1"/>
  <c r="B40" i="1"/>
  <c r="A40" i="1" s="1"/>
  <c r="B87" i="1"/>
  <c r="A87" i="1" s="1"/>
  <c r="C116" i="1"/>
  <c r="C117" i="1"/>
  <c r="C118" i="1"/>
  <c r="C119" i="1"/>
  <c r="C120" i="1"/>
  <c r="C121" i="1"/>
  <c r="C122" i="1"/>
  <c r="C123" i="1"/>
  <c r="C115" i="1"/>
  <c r="C114" i="1"/>
  <c r="C100" i="1"/>
  <c r="C101" i="1"/>
  <c r="C102" i="1"/>
  <c r="C103" i="1"/>
  <c r="C104" i="1"/>
  <c r="C105" i="1"/>
  <c r="C106" i="1"/>
  <c r="C107" i="1"/>
  <c r="C99" i="1"/>
  <c r="C98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52" i="1"/>
  <c r="C51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5" i="1"/>
  <c r="C4" i="1"/>
  <c r="B4" i="1" s="1"/>
  <c r="A4" i="1" l="1"/>
  <c r="B5" i="1"/>
  <c r="A5" i="1" s="1"/>
  <c r="B11" i="1"/>
  <c r="A11" i="1" s="1"/>
  <c r="B19" i="1"/>
  <c r="A19" i="1" s="1"/>
  <c r="B16" i="1"/>
  <c r="A16" i="1" s="1"/>
  <c r="B38" i="1"/>
  <c r="A38" i="1" s="1"/>
  <c r="B9" i="1"/>
  <c r="A9" i="1" s="1"/>
  <c r="B32" i="1"/>
  <c r="A32" i="1" s="1"/>
  <c r="B12" i="1"/>
  <c r="A12" i="1" s="1"/>
  <c r="B14" i="1"/>
  <c r="A14" i="1" s="1"/>
  <c r="B36" i="1"/>
  <c r="A36" i="1" s="1"/>
  <c r="B13" i="1"/>
  <c r="A13" i="1" s="1"/>
  <c r="B22" i="1"/>
  <c r="A22" i="1" s="1"/>
  <c r="B17" i="1"/>
  <c r="A17" i="1" s="1"/>
  <c r="B31" i="1"/>
  <c r="A31" i="1" s="1"/>
  <c r="B20" i="1"/>
  <c r="A20" i="1" s="1"/>
  <c r="B29" i="1"/>
  <c r="A29" i="1" s="1"/>
  <c r="B33" i="1"/>
  <c r="A33" i="1" s="1"/>
  <c r="B27" i="1"/>
  <c r="A27" i="1" s="1"/>
  <c r="B18" i="1"/>
  <c r="A18" i="1" s="1"/>
  <c r="B8" i="1"/>
  <c r="A8" i="1" s="1"/>
  <c r="B10" i="1"/>
  <c r="A10" i="1" s="1"/>
  <c r="B34" i="1"/>
  <c r="A34" i="1" s="1"/>
  <c r="B25" i="1"/>
  <c r="A25" i="1" s="1"/>
  <c r="B26" i="1"/>
  <c r="A26" i="1" s="1"/>
  <c r="B35" i="1"/>
  <c r="A35" i="1" s="1"/>
  <c r="B6" i="1"/>
  <c r="A6" i="1" s="1"/>
  <c r="B39" i="1"/>
  <c r="A39" i="1" s="1"/>
  <c r="B24" i="1"/>
  <c r="A24" i="1" s="1"/>
  <c r="B30" i="1"/>
  <c r="A30" i="1" s="1"/>
  <c r="B37" i="1"/>
  <c r="A37" i="1" s="1"/>
  <c r="B15" i="1"/>
  <c r="A15" i="1" s="1"/>
  <c r="B7" i="1"/>
  <c r="A7" i="1" s="1"/>
  <c r="B23" i="1"/>
  <c r="A23" i="1" s="1"/>
  <c r="B21" i="1"/>
  <c r="A21" i="1" s="1"/>
  <c r="B28" i="1"/>
  <c r="A28" i="1" s="1"/>
  <c r="B51" i="1"/>
  <c r="A51" i="1" s="1"/>
  <c r="B52" i="1"/>
  <c r="A52" i="1" s="1"/>
  <c r="B67" i="1"/>
  <c r="A67" i="1" s="1"/>
  <c r="B62" i="1"/>
  <c r="A62" i="1" s="1"/>
  <c r="B84" i="1"/>
  <c r="A84" i="1" s="1"/>
  <c r="B53" i="1"/>
  <c r="A53" i="1" s="1"/>
  <c r="B83" i="1"/>
  <c r="A83" i="1" s="1"/>
  <c r="B57" i="1"/>
  <c r="A57" i="1" s="1"/>
  <c r="B54" i="1"/>
  <c r="A54" i="1" s="1"/>
  <c r="B64" i="1"/>
  <c r="A64" i="1" s="1"/>
  <c r="B76" i="1"/>
  <c r="A76" i="1" s="1"/>
  <c r="B68" i="1"/>
  <c r="A68" i="1" s="1"/>
  <c r="B81" i="1"/>
  <c r="A81" i="1" s="1"/>
  <c r="B65" i="1"/>
  <c r="A65" i="1" s="1"/>
  <c r="B63" i="1"/>
  <c r="A63" i="1" s="1"/>
  <c r="B78" i="1"/>
  <c r="A78" i="1" s="1"/>
  <c r="B70" i="1"/>
  <c r="A70" i="1" s="1"/>
  <c r="B56" i="1"/>
  <c r="A56" i="1" s="1"/>
  <c r="B77" i="1"/>
  <c r="A77" i="1" s="1"/>
  <c r="B59" i="1"/>
  <c r="A59" i="1" s="1"/>
  <c r="B74" i="1"/>
  <c r="A74" i="1" s="1"/>
  <c r="B71" i="1"/>
  <c r="A71" i="1" s="1"/>
  <c r="B85" i="1"/>
  <c r="A85" i="1" s="1"/>
  <c r="B58" i="1"/>
  <c r="A58" i="1" s="1"/>
  <c r="B61" i="1"/>
  <c r="A61" i="1" s="1"/>
  <c r="B69" i="1"/>
  <c r="A69" i="1" s="1"/>
  <c r="B82" i="1"/>
  <c r="A82" i="1" s="1"/>
  <c r="B79" i="1"/>
  <c r="A79" i="1" s="1"/>
  <c r="B80" i="1"/>
  <c r="A80" i="1" s="1"/>
  <c r="B55" i="1"/>
  <c r="A55" i="1" s="1"/>
  <c r="B72" i="1"/>
  <c r="A72" i="1" s="1"/>
  <c r="B60" i="1"/>
  <c r="A60" i="1" s="1"/>
  <c r="B75" i="1"/>
  <c r="A75" i="1" s="1"/>
  <c r="B66" i="1"/>
  <c r="A66" i="1" s="1"/>
  <c r="B86" i="1"/>
  <c r="A86" i="1" s="1"/>
  <c r="B73" i="1"/>
  <c r="A73" i="1" s="1"/>
  <c r="B98" i="1"/>
  <c r="A98" i="1" s="1"/>
  <c r="B99" i="1"/>
  <c r="A99" i="1" s="1"/>
  <c r="B100" i="1"/>
  <c r="A100" i="1" s="1"/>
  <c r="B105" i="1"/>
  <c r="A105" i="1" s="1"/>
  <c r="B101" i="1"/>
  <c r="A101" i="1" s="1"/>
  <c r="B103" i="1"/>
  <c r="A103" i="1" s="1"/>
  <c r="B106" i="1"/>
  <c r="A106" i="1" s="1"/>
  <c r="B107" i="1"/>
  <c r="A107" i="1" s="1"/>
  <c r="B104" i="1"/>
  <c r="A104" i="1" s="1"/>
  <c r="B102" i="1"/>
  <c r="A102" i="1" s="1"/>
  <c r="B114" i="1"/>
  <c r="A114" i="1" s="1"/>
  <c r="B115" i="1"/>
  <c r="A115" i="1" s="1"/>
  <c r="B116" i="1"/>
  <c r="A116" i="1" s="1"/>
  <c r="B120" i="1"/>
  <c r="A120" i="1" s="1"/>
  <c r="B121" i="1"/>
  <c r="A121" i="1" s="1"/>
  <c r="B118" i="1"/>
  <c r="A118" i="1" s="1"/>
  <c r="B117" i="1"/>
  <c r="A117" i="1" s="1"/>
  <c r="B122" i="1"/>
  <c r="A122" i="1" s="1"/>
  <c r="B119" i="1"/>
  <c r="A119" i="1" s="1"/>
  <c r="B123" i="1"/>
  <c r="A123" i="1" s="1"/>
</calcChain>
</file>

<file path=xl/sharedStrings.xml><?xml version="1.0" encoding="utf-8"?>
<sst xmlns="http://schemas.openxmlformats.org/spreadsheetml/2006/main" count="130" uniqueCount="67">
  <si>
    <t>Location:</t>
  </si>
  <si>
    <t>OR</t>
  </si>
  <si>
    <t>ANES</t>
  </si>
  <si>
    <t xml:space="preserve">ACU/PACU </t>
  </si>
  <si>
    <t>ENDO</t>
  </si>
  <si>
    <t>CATH LAB</t>
  </si>
  <si>
    <t>CACU/EKG</t>
  </si>
  <si>
    <t>RESPIRATORY</t>
  </si>
  <si>
    <t>3E WOMENS</t>
  </si>
  <si>
    <t>NICU</t>
  </si>
  <si>
    <t>Nursery</t>
  </si>
  <si>
    <t>L&amp;D OR -CR</t>
  </si>
  <si>
    <t>4N &amp; Cath Cart</t>
  </si>
  <si>
    <t>4S</t>
  </si>
  <si>
    <t>4W</t>
  </si>
  <si>
    <t>4E</t>
  </si>
  <si>
    <t>6N</t>
  </si>
  <si>
    <t>6S</t>
  </si>
  <si>
    <t>7N</t>
  </si>
  <si>
    <t>7S</t>
  </si>
  <si>
    <t>8N</t>
  </si>
  <si>
    <t>8S</t>
  </si>
  <si>
    <t>ICU</t>
  </si>
  <si>
    <t>3N-MS</t>
  </si>
  <si>
    <t>5N/Tele</t>
  </si>
  <si>
    <t>5S</t>
  </si>
  <si>
    <t>CV-ICU</t>
  </si>
  <si>
    <t>LAB</t>
  </si>
  <si>
    <t>IMAGING</t>
  </si>
  <si>
    <t>ER/Trauma</t>
  </si>
  <si>
    <t>COU</t>
  </si>
  <si>
    <t>PRE-ASSESMENT/Sleep</t>
  </si>
  <si>
    <t>Total Pages:</t>
  </si>
  <si>
    <t>Number of Pages for Each Room</t>
  </si>
  <si>
    <t>Number of Lines for Each Room</t>
  </si>
  <si>
    <t>Total Lines:</t>
  </si>
  <si>
    <t>Number of Pages for Each Person</t>
  </si>
  <si>
    <t>Kenny</t>
  </si>
  <si>
    <t>Genevieve</t>
  </si>
  <si>
    <t>Joey</t>
  </si>
  <si>
    <t>Jayson</t>
  </si>
  <si>
    <t>Charles</t>
  </si>
  <si>
    <t>Slade</t>
  </si>
  <si>
    <t>Hydee</t>
  </si>
  <si>
    <t>Jeanette</t>
  </si>
  <si>
    <t>Andrew</t>
  </si>
  <si>
    <t>Paige</t>
  </si>
  <si>
    <t>Number of Lines for Each Person</t>
  </si>
  <si>
    <t>Total Number Weeks: (Needs to update the range in formaula weekly)</t>
  </si>
  <si>
    <t>BCC</t>
  </si>
  <si>
    <t>OSC</t>
  </si>
  <si>
    <t>BHC</t>
  </si>
  <si>
    <t>Pharmacy</t>
  </si>
  <si>
    <t>Reba</t>
  </si>
  <si>
    <t>Daily Avg:</t>
  </si>
  <si>
    <t>Weekly Page Total:</t>
  </si>
  <si>
    <t>Weekly Lines Total:</t>
  </si>
  <si>
    <t>Weekly Line Total:</t>
  </si>
  <si>
    <t>"926"</t>
  </si>
  <si>
    <t>Histology</t>
  </si>
  <si>
    <t xml:space="preserve"> </t>
  </si>
  <si>
    <t>"104" PT</t>
  </si>
  <si>
    <t>Main Wound</t>
  </si>
  <si>
    <t>"905"</t>
  </si>
  <si>
    <t>Wound Care</t>
  </si>
  <si>
    <t>PICC Team</t>
  </si>
  <si>
    <t>Collin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</si>
</sst>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4" fontId="2" fillId="2" borderId="0" xfId="0" applyNumberFormat="1" applyFont="1" applyFill="1"/>
    <xf numFmtId="0" fontId="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3" fillId="2" borderId="0" xfId="0" applyFont="1" applyFill="1"/>
    <xf numFmtId="2" fontId="0" fillId="0" borderId="0" xfId="0" applyNumberFormat="1" applyFont="1" applyAlignment="1">
      <alignment horizontal="center"/>
    </xf>
    <xf numFmtId="0" fontId="0" fillId="0" borderId="1" xfId="0" applyFont="1" applyBorder="1"/>
    <xf numFmtId="0" fontId="0" fillId="3" borderId="0" xfId="0" applyFont="1" applyFill="1"/>
    <xf numFmtId="0" fontId="0" fillId="0" borderId="0" xfId="0" applyFont="1" applyBorder="1"/>
    <xf numFmtId="0" fontId="0" fillId="0" borderId="0" xfId="0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4"/>
  <sheetViews>
    <sheetView tabSelected="1" workbookViewId="0">
      <selection activeCell="G2" sqref="G2"/>
    </sheetView>
  </sheetViews>
  <sheetFormatPr defaultRowHeight="15" x14ac:dyDescent="0.25"/>
  <cols>
    <col min="1" max="1" width="11.140625" style="8" customWidth="1"/>
    <col min="2" max="2" width="19.42578125" style="9" customWidth="1"/>
    <col min="3" max="3" width="11.5703125" style="9" bestFit="1" customWidth="1"/>
    <col min="4" max="4" width="21.7109375" style="9" bestFit="1" customWidth="1"/>
    <col min="5" max="8" width="9.7109375" style="9" bestFit="1" customWidth="1"/>
    <col min="9" max="9" width="11.42578125" style="9" bestFit="1" customWidth="1"/>
    <col min="10" max="15" width="9.7109375" style="9" bestFit="1" customWidth="1"/>
    <col min="16" max="24" width="9.140625" style="9"/>
    <col min="25" max="32" width="9.7109375" style="9" bestFit="1" customWidth="1"/>
    <col min="33" max="16384" width="9.140625" style="9"/>
  </cols>
  <sheetData>
    <row r="1" spans="1:32" ht="15.75" x14ac:dyDescent="0.25">
      <c r="B1" s="9" t="s">
        <v>48</v>
      </c>
      <c r="G1" s="10">
        <f>INT((MAX(E3:K3) - MIN(E3:K3) - WEEKDAY(MIN(E3:K3), 2) + 1) / 7) + 1</f>
        <v>1</v>
      </c>
    </row>
    <row r="2" spans="1:32" x14ac:dyDescent="0.25">
      <c r="D2" s="3" t="s">
        <v>33</v>
      </c>
      <c r="E2" s="3"/>
      <c r="F2" s="3"/>
      <c r="L2" s="1"/>
    </row>
    <row r="3" spans="1:32" s="1" customFormat="1" x14ac:dyDescent="0.25">
      <c r="A3" s="7" t="s">
        <v>54</v>
      </c>
      <c r="B3" s="7" t="s">
        <v>55</v>
      </c>
      <c r="C3" s="4" t="s">
        <v>32</v>
      </c>
      <c r="D3" s="4" t="s">
        <v>0</v>
      </c>
      <c r="E3" s="5">
        <v>46132</v>
      </c>
      <c r="F3" s="5">
        <v>46133</v>
      </c>
      <c r="G3" s="5">
        <v>46134</v>
      </c>
      <c r="H3" s="5">
        <v>46135</v>
      </c>
      <c r="I3" s="5">
        <v>46136</v>
      </c>
      <c r="J3" s="6">
        <v>46137</v>
      </c>
      <c r="K3" s="6">
        <v>46138</v>
      </c>
      <c r="L3" s="5">
        <v>46139</v>
      </c>
      <c r="M3" s="5">
        <v>46140</v>
      </c>
      <c r="N3" s="5">
        <v>46141</v>
      </c>
      <c r="O3" s="5">
        <v>46142</v>
      </c>
      <c r="P3" s="5">
        <v>46143</v>
      </c>
      <c r="Q3" s="6">
        <v>46144</v>
      </c>
      <c r="R3" s="6">
        <v>46145</v>
      </c>
      <c r="S3" s="5">
        <v>46146</v>
      </c>
      <c r="T3" s="5">
        <v>46147</v>
      </c>
      <c r="U3" s="5">
        <v>46148</v>
      </c>
      <c r="V3" s="5">
        <v>46149</v>
      </c>
      <c r="W3" s="5">
        <v>46150</v>
      </c>
      <c r="X3" s="6">
        <v>46151</v>
      </c>
      <c r="Y3" s="6">
        <v>46152</v>
      </c>
      <c r="Z3" s="5">
        <v>46153</v>
      </c>
      <c r="AA3" s="5">
        <v>46154</v>
      </c>
      <c r="AB3" s="5">
        <v>46155</v>
      </c>
      <c r="AC3" s="5">
        <v>46156</v>
      </c>
      <c r="AD3" s="5">
        <v>46157</v>
      </c>
      <c r="AE3" s="6">
        <v>46158</v>
      </c>
      <c r="AF3" s="6">
        <v>46159</v>
      </c>
    </row>
    <row r="4" spans="1:32" x14ac:dyDescent="0.25">
      <c r="A4" s="11">
        <f>B4/5</f>
        <v>7.8</v>
      </c>
      <c r="B4" s="8">
        <f>C4/$G$1</f>
        <v>39</v>
      </c>
      <c r="C4" s="2">
        <f>SUM(INDEX(4:4,4):INDEX(4:4,COLUMNS(4:4)))</f>
        <v>39</v>
      </c>
      <c r="D4" s="12" t="s">
        <v>1</v>
      </c>
      <c r="E4" s="9">
        <v>8</v>
      </c>
      <c r="F4" s="9">
        <v>10</v>
      </c>
      <c r="G4" s="9">
        <v>4</v>
      </c>
      <c r="H4" s="9">
        <v>8</v>
      </c>
      <c r="I4" s="9">
        <v>9</v>
      </c>
      <c r="J4" s="13"/>
      <c r="K4" s="13"/>
      <c r="Q4" s="13"/>
      <c r="R4" s="13"/>
      <c r="X4" s="13"/>
      <c r="Y4" s="13"/>
      <c r="AE4" s="13"/>
      <c r="AF4" s="13"/>
    </row>
    <row r="5" spans="1:32" x14ac:dyDescent="0.25">
      <c r="A5" s="11">
        <f>B5/2</f>
        <v>5.5</v>
      </c>
      <c r="B5" s="8">
        <f t="shared" ref="B5:B44" si="0">C5/$G$1</f>
        <v>11</v>
      </c>
      <c r="C5" s="2">
        <f>SUM(INDEX(5:5,4):INDEX(5:5,COLUMNS(5:5)))</f>
        <v>11</v>
      </c>
      <c r="D5" s="12" t="s">
        <v>2</v>
      </c>
      <c r="E5" s="14"/>
      <c r="F5" s="14">
        <v>7</v>
      </c>
      <c r="H5" s="9">
        <v>4</v>
      </c>
      <c r="J5" s="13"/>
      <c r="K5" s="13"/>
      <c r="Q5" s="13"/>
      <c r="R5" s="13"/>
      <c r="X5" s="13"/>
      <c r="Y5" s="13"/>
      <c r="AE5" s="13"/>
      <c r="AF5" s="13"/>
    </row>
    <row r="6" spans="1:32" x14ac:dyDescent="0.25">
      <c r="A6" s="11">
        <f>B6/3</f>
        <v>5.666666666666667</v>
      </c>
      <c r="B6" s="8">
        <f t="shared" si="0"/>
        <v>17</v>
      </c>
      <c r="C6" s="2">
        <f>SUM(INDEX(6:6,4):INDEX(6:6,COLUMNS(6:6)))</f>
        <v>17</v>
      </c>
      <c r="D6" s="12" t="s">
        <v>3</v>
      </c>
      <c r="E6" s="14">
        <v>5</v>
      </c>
      <c r="F6" s="14"/>
      <c r="G6" s="9">
        <v>6</v>
      </c>
      <c r="I6" s="9">
        <v>6</v>
      </c>
      <c r="J6" s="13"/>
      <c r="K6" s="13"/>
      <c r="Q6" s="13"/>
      <c r="R6" s="13"/>
      <c r="X6" s="13"/>
      <c r="Y6" s="13"/>
      <c r="AE6" s="13"/>
      <c r="AF6" s="13"/>
    </row>
    <row r="7" spans="1:32" x14ac:dyDescent="0.25">
      <c r="A7" s="11">
        <f>B7/3</f>
        <v>3.6666666666666665</v>
      </c>
      <c r="B7" s="8">
        <f t="shared" si="0"/>
        <v>11</v>
      </c>
      <c r="C7" s="2">
        <f>SUM(INDEX(7:7,4):INDEX(7:7,COLUMNS(7:7)))</f>
        <v>11</v>
      </c>
      <c r="D7" s="12" t="s">
        <v>4</v>
      </c>
      <c r="E7" s="14">
        <v>5</v>
      </c>
      <c r="F7" s="14"/>
      <c r="G7" s="9">
        <v>3</v>
      </c>
      <c r="H7" s="9">
        <v>1</v>
      </c>
      <c r="I7" s="9">
        <v>2</v>
      </c>
      <c r="J7" s="13"/>
      <c r="K7" s="13"/>
      <c r="Q7" s="13"/>
      <c r="R7" s="13"/>
      <c r="X7" s="13"/>
      <c r="Y7" s="13"/>
      <c r="AE7" s="13"/>
      <c r="AF7" s="13"/>
    </row>
    <row r="8" spans="1:32" x14ac:dyDescent="0.25">
      <c r="A8" s="11">
        <f>B8/3</f>
        <v>3.6666666666666665</v>
      </c>
      <c r="B8" s="8">
        <f t="shared" si="0"/>
        <v>11</v>
      </c>
      <c r="C8" s="2">
        <f>SUM(INDEX(8:8,4):INDEX(8:8,COLUMNS(8:8)))</f>
        <v>11</v>
      </c>
      <c r="D8" s="12" t="s">
        <v>5</v>
      </c>
      <c r="E8" s="14">
        <v>2</v>
      </c>
      <c r="F8" s="15">
        <v>2</v>
      </c>
      <c r="G8" s="9">
        <v>2</v>
      </c>
      <c r="I8" s="9">
        <v>5</v>
      </c>
      <c r="J8" s="13"/>
      <c r="K8" s="13"/>
      <c r="Q8" s="13"/>
      <c r="R8" s="13"/>
      <c r="X8" s="13"/>
      <c r="Y8" s="13"/>
      <c r="AE8" s="13"/>
      <c r="AF8" s="13"/>
    </row>
    <row r="9" spans="1:32" x14ac:dyDescent="0.25">
      <c r="A9" s="11">
        <f t="shared" ref="A9:A14" si="1">B9/2</f>
        <v>3.5</v>
      </c>
      <c r="B9" s="8">
        <f t="shared" si="0"/>
        <v>7</v>
      </c>
      <c r="C9" s="2">
        <f>SUM(INDEX(9:9,4):INDEX(9:9,COLUMNS(9:9)))</f>
        <v>7</v>
      </c>
      <c r="D9" s="12" t="s">
        <v>6</v>
      </c>
      <c r="E9" s="14"/>
      <c r="F9" s="14">
        <v>4</v>
      </c>
      <c r="H9" s="9">
        <v>3</v>
      </c>
      <c r="J9" s="13"/>
      <c r="K9" s="13"/>
      <c r="Q9" s="13"/>
      <c r="R9" s="13"/>
      <c r="X9" s="13"/>
      <c r="Y9" s="13"/>
      <c r="AE9" s="13"/>
      <c r="AF9" s="13"/>
    </row>
    <row r="10" spans="1:32" x14ac:dyDescent="0.25">
      <c r="A10" s="11">
        <f t="shared" si="1"/>
        <v>2</v>
      </c>
      <c r="B10" s="8">
        <f t="shared" si="0"/>
        <v>4</v>
      </c>
      <c r="C10" s="2">
        <f>SUM(INDEX(10:10,4):INDEX(10:10,COLUMNS(10:10)))</f>
        <v>4</v>
      </c>
      <c r="D10" s="12" t="s">
        <v>7</v>
      </c>
      <c r="E10" s="14"/>
      <c r="F10" s="14">
        <v>3</v>
      </c>
      <c r="H10" s="9">
        <v>1</v>
      </c>
      <c r="J10" s="13"/>
      <c r="K10" s="13"/>
      <c r="Q10" s="13"/>
      <c r="R10" s="13"/>
      <c r="X10" s="13"/>
      <c r="Y10" s="13"/>
      <c r="AE10" s="13"/>
      <c r="AF10" s="13"/>
    </row>
    <row r="11" spans="1:32" x14ac:dyDescent="0.25">
      <c r="A11" s="11">
        <f t="shared" si="1"/>
        <v>3.5</v>
      </c>
      <c r="B11" s="8">
        <f t="shared" si="0"/>
        <v>7</v>
      </c>
      <c r="C11" s="2">
        <f>SUM(INDEX(11:11,4):INDEX(11:11,COLUMNS(11:11)))</f>
        <v>7</v>
      </c>
      <c r="D11" s="12" t="s">
        <v>8</v>
      </c>
      <c r="E11" s="14"/>
      <c r="F11" s="14">
        <v>3</v>
      </c>
      <c r="H11" s="9">
        <v>4</v>
      </c>
      <c r="J11" s="13"/>
      <c r="K11" s="13"/>
      <c r="Q11" s="13"/>
      <c r="R11" s="13"/>
      <c r="X11" s="13"/>
      <c r="Y11" s="13"/>
      <c r="AE11" s="13"/>
      <c r="AF11" s="13"/>
    </row>
    <row r="12" spans="1:32" x14ac:dyDescent="0.25">
      <c r="A12" s="11">
        <f t="shared" si="1"/>
        <v>1.5</v>
      </c>
      <c r="B12" s="8">
        <f t="shared" si="0"/>
        <v>3</v>
      </c>
      <c r="C12" s="2">
        <f>SUM(INDEX(12:12,4):INDEX(12:12,COLUMNS(12:12)))</f>
        <v>3</v>
      </c>
      <c r="D12" s="12" t="s">
        <v>9</v>
      </c>
      <c r="E12" s="14"/>
      <c r="F12" s="14">
        <v>2</v>
      </c>
      <c r="H12" s="9">
        <v>1</v>
      </c>
      <c r="J12" s="13"/>
      <c r="K12" s="13"/>
      <c r="Q12" s="13"/>
      <c r="R12" s="13"/>
      <c r="X12" s="13"/>
      <c r="Y12" s="13"/>
      <c r="AE12" s="13"/>
      <c r="AF12" s="13"/>
    </row>
    <row r="13" spans="1:32" x14ac:dyDescent="0.25">
      <c r="A13" s="11">
        <f t="shared" si="1"/>
        <v>2</v>
      </c>
      <c r="B13" s="8">
        <f t="shared" si="0"/>
        <v>4</v>
      </c>
      <c r="C13" s="2">
        <f>SUM(INDEX(13:13,4):INDEX(13:13,COLUMNS(13:13)))</f>
        <v>4</v>
      </c>
      <c r="D13" s="12" t="s">
        <v>10</v>
      </c>
      <c r="E13" s="14"/>
      <c r="F13" s="14">
        <v>2</v>
      </c>
      <c r="H13" s="9">
        <v>2</v>
      </c>
      <c r="J13" s="13"/>
      <c r="K13" s="13"/>
      <c r="Q13" s="13"/>
      <c r="R13" s="13"/>
      <c r="X13" s="13"/>
      <c r="Y13" s="13"/>
      <c r="AE13" s="13"/>
      <c r="AF13" s="13"/>
    </row>
    <row r="14" spans="1:32" x14ac:dyDescent="0.25">
      <c r="A14" s="11">
        <f t="shared" si="1"/>
        <v>5</v>
      </c>
      <c r="B14" s="8">
        <f t="shared" si="0"/>
        <v>10</v>
      </c>
      <c r="C14" s="2">
        <f>SUM(INDEX(14:14,4):INDEX(14:14,COLUMNS(14:14)))</f>
        <v>10</v>
      </c>
      <c r="D14" s="12" t="s">
        <v>11</v>
      </c>
      <c r="E14" s="14"/>
      <c r="F14" s="14">
        <v>6</v>
      </c>
      <c r="H14" s="9">
        <v>4</v>
      </c>
      <c r="J14" s="13"/>
      <c r="K14" s="13"/>
      <c r="Q14" s="13"/>
      <c r="R14" s="13"/>
      <c r="X14" s="13"/>
      <c r="Y14" s="13"/>
      <c r="AE14" s="13"/>
      <c r="AF14" s="13"/>
    </row>
    <row r="15" spans="1:32" x14ac:dyDescent="0.25">
      <c r="A15" s="11">
        <f t="shared" ref="A15:A20" si="2">B15/3</f>
        <v>6</v>
      </c>
      <c r="B15" s="8">
        <f t="shared" si="0"/>
        <v>18</v>
      </c>
      <c r="C15" s="2">
        <f>SUM(INDEX(15:15,4):INDEX(15:15,COLUMNS(15:15)))</f>
        <v>18</v>
      </c>
      <c r="D15" s="12" t="s">
        <v>12</v>
      </c>
      <c r="E15" s="14">
        <v>5</v>
      </c>
      <c r="F15" s="14"/>
      <c r="G15" s="9">
        <v>4</v>
      </c>
      <c r="I15" s="9">
        <v>9</v>
      </c>
      <c r="J15" s="13"/>
      <c r="K15" s="13"/>
      <c r="Q15" s="13"/>
      <c r="R15" s="13"/>
      <c r="X15" s="13"/>
      <c r="Y15" s="13"/>
      <c r="AE15" s="13"/>
      <c r="AF15" s="13"/>
    </row>
    <row r="16" spans="1:32" x14ac:dyDescent="0.25">
      <c r="A16" s="11">
        <f t="shared" si="2"/>
        <v>5</v>
      </c>
      <c r="B16" s="8">
        <f t="shared" si="0"/>
        <v>15</v>
      </c>
      <c r="C16" s="2">
        <f>SUM(INDEX(16:16,4):INDEX(16:16,COLUMNS(16:16)))</f>
        <v>15</v>
      </c>
      <c r="D16" s="12" t="s">
        <v>13</v>
      </c>
      <c r="E16" s="14">
        <v>4</v>
      </c>
      <c r="F16" s="14"/>
      <c r="G16" s="9">
        <v>6</v>
      </c>
      <c r="I16" s="9">
        <v>5</v>
      </c>
      <c r="J16" s="13"/>
      <c r="K16" s="13"/>
      <c r="Q16" s="13"/>
      <c r="R16" s="13"/>
      <c r="X16" s="13"/>
      <c r="Y16" s="13"/>
      <c r="AE16" s="13"/>
      <c r="AF16" s="13"/>
    </row>
    <row r="17" spans="1:32" x14ac:dyDescent="0.25">
      <c r="A17" s="11">
        <f t="shared" si="2"/>
        <v>4.666666666666667</v>
      </c>
      <c r="B17" s="8">
        <f t="shared" si="0"/>
        <v>14</v>
      </c>
      <c r="C17" s="2">
        <f>SUM(INDEX(17:17,4):INDEX(17:17,COLUMNS(17:17)))</f>
        <v>14</v>
      </c>
      <c r="D17" s="12" t="s">
        <v>14</v>
      </c>
      <c r="E17" s="14">
        <v>5</v>
      </c>
      <c r="F17" s="14"/>
      <c r="G17" s="9">
        <v>4</v>
      </c>
      <c r="I17" s="9">
        <v>5</v>
      </c>
      <c r="J17" s="13"/>
      <c r="K17" s="13"/>
      <c r="Q17" s="13"/>
      <c r="R17" s="13"/>
      <c r="X17" s="13"/>
      <c r="Y17" s="13"/>
      <c r="AE17" s="13"/>
      <c r="AF17" s="13"/>
    </row>
    <row r="18" spans="1:32" x14ac:dyDescent="0.25">
      <c r="A18" s="11">
        <f t="shared" si="2"/>
        <v>4</v>
      </c>
      <c r="B18" s="8">
        <f t="shared" si="0"/>
        <v>12</v>
      </c>
      <c r="C18" s="2">
        <f>SUM(INDEX(18:18,4):INDEX(18:18,COLUMNS(18:18)))</f>
        <v>12</v>
      </c>
      <c r="D18" s="12" t="s">
        <v>15</v>
      </c>
      <c r="E18" s="14">
        <v>4</v>
      </c>
      <c r="F18" s="14"/>
      <c r="G18" s="9">
        <v>3</v>
      </c>
      <c r="I18" s="9">
        <v>5</v>
      </c>
      <c r="J18" s="13"/>
      <c r="K18" s="13"/>
      <c r="Q18" s="13"/>
      <c r="R18" s="13"/>
      <c r="X18" s="13"/>
      <c r="Y18" s="13"/>
      <c r="AE18" s="13"/>
      <c r="AF18" s="13"/>
    </row>
    <row r="19" spans="1:32" x14ac:dyDescent="0.25">
      <c r="A19" s="11">
        <f t="shared" si="2"/>
        <v>4.666666666666667</v>
      </c>
      <c r="B19" s="8">
        <f t="shared" si="0"/>
        <v>14</v>
      </c>
      <c r="C19" s="2">
        <f>SUM(INDEX(19:19,4):INDEX(19:19,COLUMNS(19:19)))</f>
        <v>14</v>
      </c>
      <c r="D19" s="12" t="s">
        <v>16</v>
      </c>
      <c r="E19" s="14">
        <v>4</v>
      </c>
      <c r="F19" s="14"/>
      <c r="G19" s="9">
        <v>5</v>
      </c>
      <c r="I19" s="9">
        <v>5</v>
      </c>
      <c r="J19" s="13"/>
      <c r="K19" s="13"/>
      <c r="Q19" s="13"/>
      <c r="R19" s="13"/>
      <c r="X19" s="13"/>
      <c r="Y19" s="13"/>
      <c r="AE19" s="13"/>
      <c r="AF19" s="13"/>
    </row>
    <row r="20" spans="1:32" x14ac:dyDescent="0.25">
      <c r="A20" s="11">
        <f t="shared" si="2"/>
        <v>3.6666666666666665</v>
      </c>
      <c r="B20" s="8">
        <f t="shared" si="0"/>
        <v>11</v>
      </c>
      <c r="C20" s="2">
        <f>SUM(INDEX(20:20,4):INDEX(20:20,COLUMNS(20:20)))</f>
        <v>11</v>
      </c>
      <c r="D20" s="12" t="s">
        <v>17</v>
      </c>
      <c r="E20" s="14">
        <v>5</v>
      </c>
      <c r="F20" s="14"/>
      <c r="G20" s="9">
        <v>3</v>
      </c>
      <c r="I20" s="9">
        <v>3</v>
      </c>
      <c r="J20" s="13"/>
      <c r="K20" s="13"/>
      <c r="Q20" s="13"/>
      <c r="R20" s="13"/>
      <c r="X20" s="13"/>
      <c r="Y20" s="13"/>
      <c r="AE20" s="13"/>
      <c r="AF20" s="13"/>
    </row>
    <row r="21" spans="1:32" x14ac:dyDescent="0.25">
      <c r="A21" s="11">
        <f t="shared" ref="A21:A44" si="3">B21/5</f>
        <v>3.8</v>
      </c>
      <c r="B21" s="8">
        <f t="shared" si="0"/>
        <v>19</v>
      </c>
      <c r="C21" s="2">
        <f>SUM(INDEX(21:21,4):INDEX(21:21,COLUMNS(21:21)))</f>
        <v>19</v>
      </c>
      <c r="D21" s="12" t="s">
        <v>18</v>
      </c>
      <c r="E21" s="14">
        <v>6</v>
      </c>
      <c r="F21" s="14">
        <v>4</v>
      </c>
      <c r="G21" s="9">
        <v>3</v>
      </c>
      <c r="H21" s="9">
        <v>2</v>
      </c>
      <c r="I21" s="9">
        <v>4</v>
      </c>
      <c r="J21" s="13"/>
      <c r="K21" s="13"/>
      <c r="Q21" s="13"/>
      <c r="R21" s="13"/>
      <c r="X21" s="13"/>
      <c r="Y21" s="13"/>
      <c r="AE21" s="13"/>
      <c r="AF21" s="13"/>
    </row>
    <row r="22" spans="1:32" x14ac:dyDescent="0.25">
      <c r="A22" s="11">
        <f t="shared" si="3"/>
        <v>3.6</v>
      </c>
      <c r="B22" s="8">
        <f t="shared" si="0"/>
        <v>18</v>
      </c>
      <c r="C22" s="2">
        <f>SUM(INDEX(22:22,4):INDEX(22:22,COLUMNS(22:22)))</f>
        <v>18</v>
      </c>
      <c r="D22" s="12" t="s">
        <v>19</v>
      </c>
      <c r="E22" s="14">
        <v>6</v>
      </c>
      <c r="F22" s="14">
        <v>3</v>
      </c>
      <c r="G22" s="9">
        <v>3</v>
      </c>
      <c r="H22" s="9">
        <v>3</v>
      </c>
      <c r="I22" s="9">
        <v>3</v>
      </c>
      <c r="J22" s="13"/>
      <c r="K22" s="13"/>
      <c r="Q22" s="13"/>
      <c r="R22" s="13"/>
      <c r="X22" s="13"/>
      <c r="Y22" s="13"/>
      <c r="AE22" s="13"/>
      <c r="AF22" s="13"/>
    </row>
    <row r="23" spans="1:32" x14ac:dyDescent="0.25">
      <c r="A23" s="11">
        <f>B23/3</f>
        <v>4</v>
      </c>
      <c r="B23" s="8">
        <f t="shared" si="0"/>
        <v>12</v>
      </c>
      <c r="C23" s="2">
        <f>SUM(INDEX(23:23,4):INDEX(23:23,COLUMNS(23:23)))</f>
        <v>12</v>
      </c>
      <c r="D23" s="12" t="s">
        <v>20</v>
      </c>
      <c r="E23" s="15">
        <v>4</v>
      </c>
      <c r="F23" s="14"/>
      <c r="G23" s="9">
        <v>4</v>
      </c>
      <c r="I23" s="9">
        <v>4</v>
      </c>
      <c r="J23" s="13"/>
      <c r="K23" s="13"/>
      <c r="Q23" s="13"/>
      <c r="R23" s="13"/>
      <c r="X23" s="13"/>
      <c r="Y23" s="13"/>
      <c r="AE23" s="13"/>
      <c r="AF23" s="13"/>
    </row>
    <row r="24" spans="1:32" x14ac:dyDescent="0.25">
      <c r="A24" s="11">
        <f>B24/3</f>
        <v>6.666666666666667</v>
      </c>
      <c r="B24" s="8">
        <f t="shared" si="0"/>
        <v>20</v>
      </c>
      <c r="C24" s="2">
        <f>SUM(INDEX(24:24,4):INDEX(24:24,COLUMNS(24:24)))</f>
        <v>20</v>
      </c>
      <c r="D24" s="12" t="s">
        <v>21</v>
      </c>
      <c r="E24" s="15">
        <v>6</v>
      </c>
      <c r="F24" s="14"/>
      <c r="G24" s="9">
        <v>6</v>
      </c>
      <c r="I24" s="9">
        <v>8</v>
      </c>
      <c r="J24" s="13"/>
      <c r="K24" s="13"/>
      <c r="Q24" s="13"/>
      <c r="R24" s="13"/>
      <c r="X24" s="13"/>
      <c r="Y24" s="13"/>
      <c r="AE24" s="13"/>
      <c r="AF24" s="13"/>
    </row>
    <row r="25" spans="1:32" x14ac:dyDescent="0.25">
      <c r="A25" s="11">
        <f t="shared" si="3"/>
        <v>5.6</v>
      </c>
      <c r="B25" s="8">
        <f t="shared" si="0"/>
        <v>28</v>
      </c>
      <c r="C25" s="2">
        <f>SUM(INDEX(25:25,4):INDEX(25:25,COLUMNS(25:25)))</f>
        <v>28</v>
      </c>
      <c r="D25" s="12" t="s">
        <v>22</v>
      </c>
      <c r="E25" s="15">
        <v>7</v>
      </c>
      <c r="F25" s="14">
        <v>5</v>
      </c>
      <c r="G25" s="9">
        <v>6</v>
      </c>
      <c r="H25" s="9">
        <v>4</v>
      </c>
      <c r="I25" s="9">
        <v>6</v>
      </c>
      <c r="J25" s="13"/>
      <c r="K25" s="13"/>
      <c r="Q25" s="13"/>
      <c r="R25" s="13"/>
      <c r="X25" s="13"/>
      <c r="Y25" s="13"/>
      <c r="AE25" s="13"/>
      <c r="AF25" s="13"/>
    </row>
    <row r="26" spans="1:32" x14ac:dyDescent="0.25">
      <c r="A26" s="11">
        <f>B26/2</f>
        <v>5</v>
      </c>
      <c r="B26" s="8">
        <f t="shared" si="0"/>
        <v>10</v>
      </c>
      <c r="C26" s="2">
        <f>SUM(INDEX(26:26,4):INDEX(26:26,COLUMNS(26:26)))</f>
        <v>10</v>
      </c>
      <c r="D26" s="12" t="s">
        <v>23</v>
      </c>
      <c r="E26" s="14"/>
      <c r="F26" s="15">
        <v>7</v>
      </c>
      <c r="H26" s="9">
        <v>3</v>
      </c>
      <c r="J26" s="13"/>
      <c r="K26" s="13"/>
      <c r="Q26" s="13"/>
      <c r="R26" s="13"/>
      <c r="X26" s="13"/>
      <c r="Y26" s="13"/>
      <c r="AE26" s="13"/>
      <c r="AF26" s="13"/>
    </row>
    <row r="27" spans="1:32" x14ac:dyDescent="0.25">
      <c r="A27" s="11">
        <f>B27/3</f>
        <v>6.333333333333333</v>
      </c>
      <c r="B27" s="8">
        <f t="shared" si="0"/>
        <v>19</v>
      </c>
      <c r="C27" s="2">
        <f>SUM(INDEX(27:27,4):INDEX(27:27,COLUMNS(27:27)))</f>
        <v>19</v>
      </c>
      <c r="D27" s="12" t="s">
        <v>24</v>
      </c>
      <c r="E27" s="14">
        <v>6</v>
      </c>
      <c r="F27" s="14"/>
      <c r="G27" s="9">
        <v>5</v>
      </c>
      <c r="I27" s="9">
        <v>8</v>
      </c>
      <c r="J27" s="13"/>
      <c r="K27" s="13"/>
      <c r="Q27" s="13"/>
      <c r="R27" s="13"/>
      <c r="X27" s="13"/>
      <c r="Y27" s="13"/>
      <c r="AE27" s="13"/>
      <c r="AF27" s="13"/>
    </row>
    <row r="28" spans="1:32" x14ac:dyDescent="0.25">
      <c r="A28" s="11">
        <f>B28/3</f>
        <v>4.666666666666667</v>
      </c>
      <c r="B28" s="8">
        <f t="shared" si="0"/>
        <v>14</v>
      </c>
      <c r="C28" s="2">
        <f>SUM(INDEX(28:28,4):INDEX(28:28,COLUMNS(28:28)))</f>
        <v>14</v>
      </c>
      <c r="D28" s="12" t="s">
        <v>25</v>
      </c>
      <c r="E28" s="15">
        <v>4</v>
      </c>
      <c r="F28" s="14"/>
      <c r="G28" s="9">
        <v>7</v>
      </c>
      <c r="I28" s="9">
        <v>3</v>
      </c>
      <c r="J28" s="13"/>
      <c r="K28" s="13"/>
      <c r="Q28" s="13"/>
      <c r="R28" s="13"/>
      <c r="X28" s="13"/>
      <c r="Y28" s="13"/>
      <c r="AE28" s="13"/>
      <c r="AF28" s="13"/>
    </row>
    <row r="29" spans="1:32" x14ac:dyDescent="0.25">
      <c r="A29" s="11">
        <f>B29/3</f>
        <v>7</v>
      </c>
      <c r="B29" s="8">
        <f t="shared" si="0"/>
        <v>21</v>
      </c>
      <c r="C29" s="2">
        <f>SUM(INDEX(29:29,4):INDEX(29:29,COLUMNS(29:29)))</f>
        <v>21</v>
      </c>
      <c r="D29" s="12" t="s">
        <v>26</v>
      </c>
      <c r="E29" s="14">
        <v>8</v>
      </c>
      <c r="F29" s="14"/>
      <c r="G29" s="9">
        <v>3</v>
      </c>
      <c r="I29" s="9">
        <v>10</v>
      </c>
      <c r="J29" s="13"/>
      <c r="K29" s="13"/>
      <c r="Q29" s="13"/>
      <c r="R29" s="13"/>
      <c r="X29" s="13"/>
      <c r="Y29" s="13"/>
      <c r="AE29" s="13"/>
      <c r="AF29" s="13"/>
    </row>
    <row r="30" spans="1:32" x14ac:dyDescent="0.25">
      <c r="A30" s="11">
        <f>B30/3</f>
        <v>4</v>
      </c>
      <c r="B30" s="8">
        <f t="shared" si="0"/>
        <v>12</v>
      </c>
      <c r="C30" s="2">
        <f>SUM(INDEX(30:30,4):INDEX(30:30,COLUMNS(30:30)))</f>
        <v>12</v>
      </c>
      <c r="D30" s="12" t="s">
        <v>27</v>
      </c>
      <c r="E30" s="15">
        <v>3</v>
      </c>
      <c r="F30" s="14"/>
      <c r="G30" s="9">
        <v>5</v>
      </c>
      <c r="H30" s="9">
        <v>1</v>
      </c>
      <c r="I30" s="9">
        <v>3</v>
      </c>
      <c r="J30" s="13"/>
      <c r="K30" s="13"/>
      <c r="Q30" s="13"/>
      <c r="R30" s="13"/>
      <c r="X30" s="13"/>
      <c r="Y30" s="13"/>
      <c r="AE30" s="13"/>
      <c r="AF30" s="13"/>
    </row>
    <row r="31" spans="1:32" x14ac:dyDescent="0.25">
      <c r="A31" s="11">
        <f>B31/3</f>
        <v>7.666666666666667</v>
      </c>
      <c r="B31" s="8">
        <f t="shared" si="0"/>
        <v>23</v>
      </c>
      <c r="C31" s="2">
        <f>SUM(INDEX(31:31,4):INDEX(31:31,COLUMNS(31:31)))</f>
        <v>23</v>
      </c>
      <c r="D31" s="12" t="s">
        <v>28</v>
      </c>
      <c r="E31" s="14">
        <v>6</v>
      </c>
      <c r="F31" s="14"/>
      <c r="G31" s="9">
        <v>8</v>
      </c>
      <c r="H31" s="9">
        <v>2</v>
      </c>
      <c r="I31" s="9">
        <v>7</v>
      </c>
      <c r="J31" s="13"/>
      <c r="K31" s="13"/>
      <c r="Q31" s="13"/>
      <c r="R31" s="13"/>
      <c r="X31" s="13"/>
      <c r="Y31" s="13"/>
      <c r="AE31" s="13"/>
      <c r="AF31" s="13"/>
    </row>
    <row r="32" spans="1:32" x14ac:dyDescent="0.25">
      <c r="A32" s="11">
        <f t="shared" si="3"/>
        <v>5.6</v>
      </c>
      <c r="B32" s="8">
        <f t="shared" si="0"/>
        <v>28</v>
      </c>
      <c r="C32" s="2">
        <f>SUM(INDEX(32:32,4):INDEX(32:32,COLUMNS(32:32)))</f>
        <v>28</v>
      </c>
      <c r="D32" s="12" t="s">
        <v>29</v>
      </c>
      <c r="E32" s="14">
        <v>9</v>
      </c>
      <c r="F32" s="14">
        <v>2</v>
      </c>
      <c r="G32" s="9">
        <v>4</v>
      </c>
      <c r="H32" s="9">
        <v>9</v>
      </c>
      <c r="I32" s="9">
        <v>4</v>
      </c>
      <c r="J32" s="13"/>
      <c r="K32" s="13"/>
      <c r="Q32" s="13"/>
      <c r="R32" s="13"/>
      <c r="X32" s="13"/>
      <c r="Y32" s="13"/>
      <c r="AE32" s="13"/>
      <c r="AF32" s="13"/>
    </row>
    <row r="33" spans="1:32" x14ac:dyDescent="0.25">
      <c r="A33" s="11">
        <f>B33/2</f>
        <v>5</v>
      </c>
      <c r="B33" s="8">
        <f t="shared" si="0"/>
        <v>10</v>
      </c>
      <c r="C33" s="2">
        <f>SUM(INDEX(33:33,4):INDEX(33:33,COLUMNS(33:33)))</f>
        <v>10</v>
      </c>
      <c r="D33" s="12" t="s">
        <v>30</v>
      </c>
      <c r="E33" s="14"/>
      <c r="F33" s="14">
        <v>6</v>
      </c>
      <c r="H33" s="9">
        <v>4</v>
      </c>
      <c r="J33" s="13"/>
      <c r="K33" s="13"/>
      <c r="Q33" s="13"/>
      <c r="R33" s="13"/>
      <c r="X33" s="13"/>
      <c r="Y33" s="13"/>
      <c r="AE33" s="13"/>
      <c r="AF33" s="13"/>
    </row>
    <row r="34" spans="1:32" x14ac:dyDescent="0.25">
      <c r="A34" s="11">
        <f>B34/2</f>
        <v>2.5</v>
      </c>
      <c r="B34" s="8">
        <f t="shared" si="0"/>
        <v>5</v>
      </c>
      <c r="C34" s="2">
        <f>SUM(INDEX(34:34,4):INDEX(34:34,COLUMNS(34:34)))</f>
        <v>5</v>
      </c>
      <c r="D34" s="12" t="s">
        <v>31</v>
      </c>
      <c r="E34" s="14"/>
      <c r="F34" s="14">
        <v>3</v>
      </c>
      <c r="H34" s="9">
        <v>2</v>
      </c>
      <c r="J34" s="13"/>
      <c r="K34" s="13"/>
      <c r="Q34" s="13"/>
      <c r="R34" s="13"/>
      <c r="X34" s="13"/>
      <c r="Y34" s="13"/>
      <c r="AE34" s="13"/>
      <c r="AF34" s="13"/>
    </row>
    <row r="35" spans="1:32" x14ac:dyDescent="0.25">
      <c r="A35" s="11">
        <f>B35/2</f>
        <v>2</v>
      </c>
      <c r="B35" s="8">
        <f t="shared" si="0"/>
        <v>4</v>
      </c>
      <c r="C35" s="2">
        <f>SUM(INDEX(35:35,4):INDEX(35:35,COLUMNS(35:35)))</f>
        <v>4</v>
      </c>
      <c r="D35" s="12" t="s">
        <v>52</v>
      </c>
      <c r="E35" s="14"/>
      <c r="F35" s="14">
        <v>2</v>
      </c>
      <c r="H35" s="9">
        <v>2</v>
      </c>
      <c r="J35" s="13"/>
      <c r="K35" s="13"/>
      <c r="Q35" s="13"/>
      <c r="R35" s="13"/>
      <c r="X35" s="13"/>
      <c r="Y35" s="13"/>
      <c r="AE35" s="13"/>
      <c r="AF35" s="13"/>
    </row>
    <row r="36" spans="1:32" x14ac:dyDescent="0.25">
      <c r="A36" s="11">
        <f t="shared" si="3"/>
        <v>0.4</v>
      </c>
      <c r="B36" s="8">
        <f t="shared" si="0"/>
        <v>2</v>
      </c>
      <c r="C36" s="2">
        <f>SUM(INDEX(36:36,4):INDEX(36:36,COLUMNS(36:36)))</f>
        <v>2</v>
      </c>
      <c r="D36" s="16" t="s">
        <v>49</v>
      </c>
      <c r="E36" s="14"/>
      <c r="F36" s="14"/>
      <c r="H36" s="9">
        <v>2</v>
      </c>
      <c r="J36" s="13"/>
      <c r="K36" s="13"/>
      <c r="Q36" s="13"/>
      <c r="R36" s="13"/>
      <c r="X36" s="13"/>
      <c r="Y36" s="13"/>
      <c r="AE36" s="13"/>
      <c r="AF36" s="13"/>
    </row>
    <row r="37" spans="1:32" x14ac:dyDescent="0.25">
      <c r="A37" s="11">
        <f t="shared" si="3"/>
        <v>1.2</v>
      </c>
      <c r="B37" s="8">
        <f t="shared" si="0"/>
        <v>6</v>
      </c>
      <c r="C37" s="2">
        <f>SUM(INDEX(37:37,4):INDEX(37:37,COLUMNS(37:37)))</f>
        <v>6</v>
      </c>
      <c r="D37" s="16" t="s">
        <v>50</v>
      </c>
      <c r="E37" s="9">
        <v>2</v>
      </c>
      <c r="H37" s="9">
        <v>2</v>
      </c>
      <c r="I37" s="9">
        <v>2</v>
      </c>
      <c r="J37" s="13"/>
      <c r="K37" s="13"/>
      <c r="Q37" s="13"/>
      <c r="R37" s="13"/>
      <c r="X37" s="13"/>
      <c r="Y37" s="13"/>
      <c r="AE37" s="13"/>
      <c r="AF37" s="13"/>
    </row>
    <row r="38" spans="1:32" x14ac:dyDescent="0.25">
      <c r="A38" s="11">
        <f t="shared" si="3"/>
        <v>0.8</v>
      </c>
      <c r="B38" s="8">
        <f t="shared" si="0"/>
        <v>4</v>
      </c>
      <c r="C38" s="2">
        <f>SUM(INDEX(38:38,4):INDEX(38:38,COLUMNS(38:38)))</f>
        <v>4</v>
      </c>
      <c r="D38" s="16" t="s">
        <v>51</v>
      </c>
      <c r="H38" s="9">
        <v>4</v>
      </c>
      <c r="J38" s="13"/>
      <c r="K38" s="13"/>
      <c r="Q38" s="13"/>
      <c r="R38" s="13"/>
      <c r="X38" s="13"/>
      <c r="Y38" s="13"/>
      <c r="AE38" s="13"/>
      <c r="AF38" s="13"/>
    </row>
    <row r="39" spans="1:32" x14ac:dyDescent="0.25">
      <c r="A39" s="11">
        <f t="shared" si="3"/>
        <v>1.8</v>
      </c>
      <c r="B39" s="8">
        <f t="shared" si="0"/>
        <v>9</v>
      </c>
      <c r="C39" s="2">
        <f>SUM(INDEX(39:39,4):INDEX(39:39,COLUMNS(39:39)))</f>
        <v>9</v>
      </c>
      <c r="D39" s="16" t="s">
        <v>53</v>
      </c>
      <c r="H39" s="9">
        <v>9</v>
      </c>
      <c r="J39" s="13"/>
      <c r="K39" s="13"/>
      <c r="Q39" s="13"/>
      <c r="R39" s="13"/>
      <c r="X39" s="13"/>
      <c r="Y39" s="13"/>
      <c r="AE39" s="13"/>
      <c r="AF39" s="13"/>
    </row>
    <row r="40" spans="1:32" x14ac:dyDescent="0.25">
      <c r="A40" s="11">
        <f t="shared" si="3"/>
        <v>2</v>
      </c>
      <c r="B40" s="8">
        <f t="shared" si="0"/>
        <v>10</v>
      </c>
      <c r="C40" s="2">
        <f>SUM(INDEX(40:40,4):INDEX(40:40,COLUMNS(40:40)))</f>
        <v>10</v>
      </c>
      <c r="D40" s="17" t="s">
        <v>58</v>
      </c>
      <c r="E40" s="9">
        <v>1</v>
      </c>
      <c r="F40" s="9">
        <v>8</v>
      </c>
      <c r="G40" s="9">
        <v>1</v>
      </c>
      <c r="J40" s="13"/>
      <c r="K40" s="13"/>
      <c r="Q40" s="13"/>
      <c r="R40" s="13"/>
      <c r="X40" s="13"/>
      <c r="Y40" s="13"/>
      <c r="AE40" s="13"/>
      <c r="AF40" s="13"/>
    </row>
    <row r="41" spans="1:32" x14ac:dyDescent="0.25">
      <c r="A41" s="11">
        <f t="shared" si="3"/>
        <v>0.2</v>
      </c>
      <c r="B41" s="8">
        <f t="shared" si="0"/>
        <v>1</v>
      </c>
      <c r="C41" s="2">
        <f>SUM(INDEX(41:41,4):INDEX(41:41,COLUMNS(41:41)))</f>
        <v>1</v>
      </c>
      <c r="D41" s="16" t="s">
        <v>59</v>
      </c>
      <c r="I41" s="9">
        <v>1</v>
      </c>
      <c r="J41" s="13"/>
      <c r="K41" s="13"/>
      <c r="Q41" s="13"/>
      <c r="R41" s="13"/>
      <c r="X41" s="13"/>
      <c r="Y41" s="13"/>
      <c r="AE41" s="13"/>
      <c r="AF41" s="13"/>
    </row>
    <row r="42" spans="1:32" x14ac:dyDescent="0.25">
      <c r="A42" s="11">
        <f t="shared" si="3"/>
        <v>0.6</v>
      </c>
      <c r="B42" s="8">
        <f t="shared" si="0"/>
        <v>3</v>
      </c>
      <c r="C42" s="2">
        <f>SUM(INDEX(42:42,4):INDEX(42:42,COLUMNS(42:42)))</f>
        <v>3</v>
      </c>
      <c r="D42" s="16" t="s">
        <v>61</v>
      </c>
      <c r="I42" s="9">
        <v>3</v>
      </c>
      <c r="J42" s="13"/>
      <c r="K42" s="13"/>
      <c r="Q42" s="13"/>
      <c r="R42" s="13"/>
      <c r="X42" s="13"/>
      <c r="Y42" s="13"/>
      <c r="AE42" s="13"/>
      <c r="AF42" s="13"/>
    </row>
    <row r="43" spans="1:32" x14ac:dyDescent="0.25">
      <c r="A43" s="11">
        <f t="shared" si="3"/>
        <v>0.8</v>
      </c>
      <c r="B43" s="8">
        <f t="shared" si="0"/>
        <v>4</v>
      </c>
      <c r="C43" s="2">
        <f>SUM(INDEX(43:43,4):INDEX(43:43,COLUMNS(43:43)))</f>
        <v>4</v>
      </c>
      <c r="D43" s="16" t="s">
        <v>62</v>
      </c>
      <c r="I43" s="9">
        <v>4</v>
      </c>
      <c r="J43" s="13"/>
      <c r="K43" s="13"/>
      <c r="Q43" s="13"/>
      <c r="R43" s="13"/>
      <c r="X43" s="13"/>
      <c r="Y43" s="13"/>
      <c r="AE43" s="13"/>
      <c r="AF43" s="13"/>
    </row>
    <row r="44" spans="1:32" x14ac:dyDescent="0.25">
      <c r="A44" s="11">
        <f t="shared" si="3"/>
        <v>1.2</v>
      </c>
      <c r="B44" s="8">
        <f t="shared" si="0"/>
        <v>6</v>
      </c>
      <c r="C44" s="2">
        <f>SUM(INDEX(44:44,4):INDEX(44:44,COLUMNS(44:44)))</f>
        <v>6</v>
      </c>
      <c r="D44" s="16" t="s">
        <v>63</v>
      </c>
      <c r="G44" s="9">
        <v>6</v>
      </c>
      <c r="J44" s="13"/>
      <c r="K44" s="13"/>
      <c r="Q44" s="13"/>
      <c r="R44" s="13"/>
      <c r="X44" s="13"/>
      <c r="Y44" s="13"/>
      <c r="AE44" s="13"/>
      <c r="AF44" s="13"/>
    </row>
    <row r="45" spans="1:32" x14ac:dyDescent="0.25">
      <c r="A45" s="11">
        <f>B45/5</f>
        <v>0.2</v>
      </c>
      <c r="B45" s="8">
        <f>C45/$G$1</f>
        <v>1</v>
      </c>
      <c r="C45" s="2">
        <f>SUM(INDEX(45:45,4):INDEX(45:45,COLUMNS(45:45)))</f>
        <v>1</v>
      </c>
      <c r="D45" s="16" t="s">
        <v>64</v>
      </c>
      <c r="E45" s="9">
        <v>1</v>
      </c>
      <c r="J45" s="13"/>
      <c r="K45" s="13"/>
      <c r="Q45" s="13"/>
      <c r="R45" s="13"/>
      <c r="X45" s="13"/>
      <c r="Y45" s="13"/>
      <c r="AE45" s="13"/>
      <c r="AF45" s="13"/>
    </row>
    <row r="46" spans="1:32" x14ac:dyDescent="0.25">
      <c r="A46" s="11">
        <f>B46/5</f>
        <v>0.2</v>
      </c>
      <c r="B46" s="8">
        <f>C46/$G$1</f>
        <v>1</v>
      </c>
      <c r="C46" s="2">
        <f>SUM(INDEX(46:46,4):INDEX(46:46,COLUMNS(46:46)))</f>
        <v>1</v>
      </c>
      <c r="D46" s="16" t="s">
        <v>65</v>
      </c>
      <c r="E46" s="9">
        <v>1</v>
      </c>
      <c r="J46" s="13"/>
      <c r="K46" s="13"/>
      <c r="Q46" s="13"/>
      <c r="R46" s="13"/>
      <c r="X46" s="13"/>
      <c r="Y46" s="13"/>
      <c r="AE46" s="13"/>
      <c r="AF46" s="13"/>
    </row>
    <row r="47" spans="1:32" x14ac:dyDescent="0.25">
      <c r="B47" s="8"/>
      <c r="C47" s="2"/>
      <c r="D47" s="15"/>
    </row>
    <row r="49" spans="1:32" x14ac:dyDescent="0.25">
      <c r="D49" s="3" t="s">
        <v>34</v>
      </c>
      <c r="E49" s="3"/>
      <c r="F49" s="3"/>
    </row>
    <row r="50" spans="1:32" s="1" customFormat="1" x14ac:dyDescent="0.25">
      <c r="A50" s="7" t="s">
        <v>54</v>
      </c>
      <c r="B50" s="7" t="s">
        <v>56</v>
      </c>
      <c r="C50" s="4" t="s">
        <v>35</v>
      </c>
      <c r="D50" s="4" t="s">
        <v>0</v>
      </c>
      <c r="E50" s="5">
        <v>46132</v>
      </c>
      <c r="F50" s="5">
        <v>46133</v>
      </c>
      <c r="G50" s="5">
        <v>46134</v>
      </c>
      <c r="H50" s="5">
        <v>46135</v>
      </c>
      <c r="I50" s="5">
        <v>46136</v>
      </c>
      <c r="J50" s="6">
        <v>46137</v>
      </c>
      <c r="K50" s="6">
        <v>46138</v>
      </c>
      <c r="L50" s="5">
        <v>46139</v>
      </c>
      <c r="M50" s="5">
        <v>46140</v>
      </c>
      <c r="N50" s="5">
        <v>46141</v>
      </c>
      <c r="O50" s="5">
        <v>46142</v>
      </c>
      <c r="P50" s="5">
        <v>46143</v>
      </c>
      <c r="Q50" s="6">
        <v>46144</v>
      </c>
      <c r="R50" s="6">
        <v>46145</v>
      </c>
      <c r="S50" s="5">
        <v>46146</v>
      </c>
      <c r="T50" s="5">
        <v>46147</v>
      </c>
      <c r="U50" s="5">
        <v>46148</v>
      </c>
      <c r="V50" s="5">
        <v>46149</v>
      </c>
      <c r="W50" s="5">
        <v>46150</v>
      </c>
      <c r="X50" s="6">
        <v>46151</v>
      </c>
      <c r="Y50" s="6">
        <v>46152</v>
      </c>
      <c r="Z50" s="5">
        <v>46153</v>
      </c>
      <c r="AA50" s="5">
        <v>46154</v>
      </c>
      <c r="AB50" s="5">
        <v>46155</v>
      </c>
      <c r="AC50" s="5">
        <v>46156</v>
      </c>
      <c r="AD50" s="5">
        <v>46157</v>
      </c>
      <c r="AE50" s="6">
        <v>46158</v>
      </c>
      <c r="AF50" s="6">
        <v>46159</v>
      </c>
    </row>
    <row r="51" spans="1:32" x14ac:dyDescent="0.25">
      <c r="A51" s="11">
        <f>B51/5</f>
        <v>51.6</v>
      </c>
      <c r="B51" s="8">
        <f>C51/$G$1</f>
        <v>258</v>
      </c>
      <c r="C51" s="2">
        <f>SUM(INDEX(51:51,4):INDEX(51:51,COLUMNS(51:51)))</f>
        <v>258</v>
      </c>
      <c r="D51" s="12" t="s">
        <v>1</v>
      </c>
      <c r="E51" s="14">
        <v>52</v>
      </c>
      <c r="F51" s="14">
        <v>64</v>
      </c>
      <c r="G51" s="9">
        <v>28</v>
      </c>
      <c r="H51" s="9">
        <v>52</v>
      </c>
      <c r="I51" s="9">
        <v>62</v>
      </c>
      <c r="J51" s="13"/>
      <c r="K51" s="13"/>
      <c r="Q51" s="13"/>
      <c r="R51" s="13"/>
      <c r="X51" s="13"/>
      <c r="Y51" s="13"/>
      <c r="AE51" s="13"/>
      <c r="AF51" s="13"/>
    </row>
    <row r="52" spans="1:32" x14ac:dyDescent="0.25">
      <c r="A52" s="11">
        <f>B52/2</f>
        <v>34</v>
      </c>
      <c r="B52" s="8">
        <f t="shared" ref="B52:B93" si="4">C52/$G$1</f>
        <v>68</v>
      </c>
      <c r="C52" s="2">
        <f>SUM(INDEX(52:52,4):INDEX(52:52,COLUMNS(52:52)))</f>
        <v>68</v>
      </c>
      <c r="D52" s="12" t="s">
        <v>2</v>
      </c>
      <c r="E52" s="14"/>
      <c r="F52" s="14">
        <v>44</v>
      </c>
      <c r="H52" s="9">
        <v>24</v>
      </c>
      <c r="J52" s="13"/>
      <c r="K52" s="13"/>
      <c r="Q52" s="13"/>
      <c r="R52" s="13"/>
      <c r="X52" s="13"/>
      <c r="Y52" s="13"/>
      <c r="AE52" s="13"/>
      <c r="AF52" s="13"/>
    </row>
    <row r="53" spans="1:32" x14ac:dyDescent="0.25">
      <c r="A53" s="11">
        <f>B53/3</f>
        <v>29</v>
      </c>
      <c r="B53" s="8">
        <f t="shared" si="4"/>
        <v>87</v>
      </c>
      <c r="C53" s="2">
        <f>SUM(INDEX(53:53,4):INDEX(53:53,COLUMNS(53:53)))</f>
        <v>87</v>
      </c>
      <c r="D53" s="12" t="s">
        <v>3</v>
      </c>
      <c r="E53" s="14">
        <v>27</v>
      </c>
      <c r="F53" s="14"/>
      <c r="G53" s="9">
        <v>29</v>
      </c>
      <c r="I53" s="9">
        <v>31</v>
      </c>
      <c r="J53" s="13"/>
      <c r="K53" s="13"/>
      <c r="Q53" s="13"/>
      <c r="R53" s="13"/>
      <c r="X53" s="13"/>
      <c r="Y53" s="13"/>
      <c r="AE53" s="13"/>
      <c r="AF53" s="13"/>
    </row>
    <row r="54" spans="1:32" x14ac:dyDescent="0.25">
      <c r="A54" s="11">
        <f>B54/3</f>
        <v>20.333333333333332</v>
      </c>
      <c r="B54" s="8">
        <f t="shared" si="4"/>
        <v>61</v>
      </c>
      <c r="C54" s="2">
        <f>SUM(INDEX(54:54,4):INDEX(54:54,COLUMNS(54:54)))</f>
        <v>61</v>
      </c>
      <c r="D54" s="12" t="s">
        <v>4</v>
      </c>
      <c r="E54" s="14">
        <v>28</v>
      </c>
      <c r="F54" s="14"/>
      <c r="G54" s="9">
        <v>20</v>
      </c>
      <c r="H54" s="9">
        <v>1</v>
      </c>
      <c r="I54" s="9">
        <v>12</v>
      </c>
      <c r="J54" s="13"/>
      <c r="K54" s="13"/>
      <c r="Q54" s="13"/>
      <c r="R54" s="13"/>
      <c r="X54" s="13"/>
      <c r="Y54" s="13"/>
      <c r="AE54" s="13"/>
      <c r="AF54" s="13"/>
    </row>
    <row r="55" spans="1:32" x14ac:dyDescent="0.25">
      <c r="A55" s="11">
        <f>B55/3</f>
        <v>17.333333333333332</v>
      </c>
      <c r="B55" s="8">
        <f t="shared" si="4"/>
        <v>52</v>
      </c>
      <c r="C55" s="2">
        <f>SUM(INDEX(55:55,4):INDEX(55:55,COLUMNS(55:55)))</f>
        <v>52</v>
      </c>
      <c r="D55" s="12" t="s">
        <v>5</v>
      </c>
      <c r="E55" s="14">
        <v>11</v>
      </c>
      <c r="F55" s="15">
        <v>7</v>
      </c>
      <c r="G55" s="9">
        <v>7</v>
      </c>
      <c r="I55" s="9">
        <v>27</v>
      </c>
      <c r="J55" s="13"/>
      <c r="K55" s="13"/>
      <c r="Q55" s="13"/>
      <c r="R55" s="13"/>
      <c r="X55" s="13"/>
      <c r="Y55" s="13"/>
      <c r="AE55" s="13"/>
      <c r="AF55" s="13"/>
    </row>
    <row r="56" spans="1:32" x14ac:dyDescent="0.25">
      <c r="A56" s="11">
        <f t="shared" ref="A56:A61" si="5">B56/2</f>
        <v>14.5</v>
      </c>
      <c r="B56" s="8">
        <f t="shared" si="4"/>
        <v>29</v>
      </c>
      <c r="C56" s="2">
        <f>SUM(INDEX(56:56,4):INDEX(56:56,COLUMNS(56:56)))</f>
        <v>29</v>
      </c>
      <c r="D56" s="12" t="s">
        <v>6</v>
      </c>
      <c r="E56" s="14"/>
      <c r="F56" s="14">
        <v>16</v>
      </c>
      <c r="H56" s="9">
        <v>13</v>
      </c>
      <c r="J56" s="13"/>
      <c r="K56" s="13"/>
      <c r="Q56" s="13"/>
      <c r="R56" s="13"/>
      <c r="X56" s="13"/>
      <c r="Y56" s="13"/>
      <c r="AE56" s="13"/>
      <c r="AF56" s="13"/>
    </row>
    <row r="57" spans="1:32" x14ac:dyDescent="0.25">
      <c r="A57" s="11">
        <f t="shared" si="5"/>
        <v>9.5</v>
      </c>
      <c r="B57" s="8">
        <f t="shared" si="4"/>
        <v>19</v>
      </c>
      <c r="C57" s="2">
        <f>SUM(INDEX(57:57,4):INDEX(57:57,COLUMNS(57:57)))</f>
        <v>19</v>
      </c>
      <c r="D57" s="12" t="s">
        <v>7</v>
      </c>
      <c r="E57" s="14"/>
      <c r="F57" s="14">
        <v>13</v>
      </c>
      <c r="H57" s="9">
        <v>6</v>
      </c>
      <c r="J57" s="13"/>
      <c r="K57" s="13"/>
      <c r="Q57" s="13"/>
      <c r="R57" s="13"/>
      <c r="X57" s="13"/>
      <c r="Y57" s="13"/>
      <c r="AE57" s="13"/>
      <c r="AF57" s="13"/>
    </row>
    <row r="58" spans="1:32" x14ac:dyDescent="0.25">
      <c r="A58" s="11">
        <f t="shared" si="5"/>
        <v>20</v>
      </c>
      <c r="B58" s="8">
        <f t="shared" si="4"/>
        <v>40</v>
      </c>
      <c r="C58" s="2">
        <f>SUM(INDEX(58:58,4):INDEX(58:58,COLUMNS(58:58)))</f>
        <v>40</v>
      </c>
      <c r="D58" s="12" t="s">
        <v>8</v>
      </c>
      <c r="E58" s="14"/>
      <c r="F58" s="14">
        <v>16</v>
      </c>
      <c r="H58" s="9">
        <v>24</v>
      </c>
      <c r="J58" s="13"/>
      <c r="K58" s="13"/>
      <c r="Q58" s="13"/>
      <c r="R58" s="13"/>
      <c r="X58" s="13"/>
      <c r="Y58" s="13"/>
      <c r="AE58" s="13"/>
      <c r="AF58" s="13"/>
    </row>
    <row r="59" spans="1:32" x14ac:dyDescent="0.25">
      <c r="A59" s="11">
        <f t="shared" si="5"/>
        <v>6</v>
      </c>
      <c r="B59" s="8">
        <f t="shared" si="4"/>
        <v>12</v>
      </c>
      <c r="C59" s="2">
        <f>SUM(INDEX(59:59,4):INDEX(59:59,COLUMNS(59:59)))</f>
        <v>12</v>
      </c>
      <c r="D59" s="12" t="s">
        <v>9</v>
      </c>
      <c r="E59" s="14"/>
      <c r="F59" s="14">
        <v>7</v>
      </c>
      <c r="H59" s="9">
        <v>5</v>
      </c>
      <c r="J59" s="13"/>
      <c r="K59" s="13"/>
      <c r="Q59" s="13"/>
      <c r="R59" s="13"/>
      <c r="X59" s="13"/>
      <c r="Y59" s="13"/>
      <c r="AE59" s="13"/>
      <c r="AF59" s="13"/>
    </row>
    <row r="60" spans="1:32" x14ac:dyDescent="0.25">
      <c r="A60" s="11">
        <f t="shared" si="5"/>
        <v>9.5</v>
      </c>
      <c r="B60" s="8">
        <f t="shared" si="4"/>
        <v>19</v>
      </c>
      <c r="C60" s="2">
        <f>SUM(INDEX(60:60,4):INDEX(60:60,COLUMNS(60:60)))</f>
        <v>19</v>
      </c>
      <c r="D60" s="12" t="s">
        <v>10</v>
      </c>
      <c r="E60" s="14"/>
      <c r="F60" s="14">
        <v>8</v>
      </c>
      <c r="H60" s="9">
        <v>11</v>
      </c>
      <c r="J60" s="13"/>
      <c r="K60" s="13"/>
      <c r="Q60" s="13"/>
      <c r="R60" s="13"/>
      <c r="X60" s="13"/>
      <c r="Y60" s="13"/>
      <c r="AE60" s="13"/>
      <c r="AF60" s="13"/>
    </row>
    <row r="61" spans="1:32" x14ac:dyDescent="0.25">
      <c r="A61" s="11">
        <f t="shared" si="5"/>
        <v>28</v>
      </c>
      <c r="B61" s="8">
        <f t="shared" si="4"/>
        <v>56</v>
      </c>
      <c r="C61" s="2">
        <f>SUM(INDEX(61:61,4):INDEX(61:61,COLUMNS(61:61)))</f>
        <v>56</v>
      </c>
      <c r="D61" s="12" t="s">
        <v>11</v>
      </c>
      <c r="E61" s="14"/>
      <c r="F61" s="14">
        <v>36</v>
      </c>
      <c r="H61" s="9">
        <v>20</v>
      </c>
      <c r="J61" s="13"/>
      <c r="K61" s="13"/>
      <c r="Q61" s="13"/>
      <c r="R61" s="13"/>
      <c r="X61" s="13"/>
      <c r="Y61" s="13"/>
      <c r="AE61" s="13"/>
      <c r="AF61" s="13"/>
    </row>
    <row r="62" spans="1:32" x14ac:dyDescent="0.25">
      <c r="A62" s="11">
        <f t="shared" ref="A62:A67" si="6">B62/3</f>
        <v>36.666666666666664</v>
      </c>
      <c r="B62" s="8">
        <f t="shared" si="4"/>
        <v>110</v>
      </c>
      <c r="C62" s="2">
        <f>SUM(INDEX(62:62,4):INDEX(62:62,COLUMNS(62:62)))</f>
        <v>110</v>
      </c>
      <c r="D62" s="12" t="s">
        <v>12</v>
      </c>
      <c r="E62" s="14">
        <v>33</v>
      </c>
      <c r="F62" s="14"/>
      <c r="G62" s="9">
        <v>26</v>
      </c>
      <c r="I62" s="9">
        <v>51</v>
      </c>
      <c r="J62" s="13"/>
      <c r="K62" s="13"/>
      <c r="Q62" s="13"/>
      <c r="R62" s="13"/>
      <c r="X62" s="13"/>
      <c r="Y62" s="13"/>
      <c r="AE62" s="13"/>
      <c r="AF62" s="13"/>
    </row>
    <row r="63" spans="1:32" x14ac:dyDescent="0.25">
      <c r="A63" s="11">
        <f t="shared" si="6"/>
        <v>31.333333333333332</v>
      </c>
      <c r="B63" s="8">
        <f t="shared" si="4"/>
        <v>94</v>
      </c>
      <c r="C63" s="2">
        <f>SUM(INDEX(63:63,4):INDEX(63:63,COLUMNS(63:63)))</f>
        <v>94</v>
      </c>
      <c r="D63" s="12" t="s">
        <v>13</v>
      </c>
      <c r="E63" s="14">
        <v>27</v>
      </c>
      <c r="F63" s="14"/>
      <c r="G63" s="9">
        <v>38</v>
      </c>
      <c r="I63" s="9">
        <v>29</v>
      </c>
      <c r="J63" s="13"/>
      <c r="K63" s="13"/>
      <c r="Q63" s="13"/>
      <c r="R63" s="13"/>
      <c r="X63" s="13"/>
      <c r="Y63" s="13"/>
      <c r="AE63" s="13"/>
      <c r="AF63" s="13"/>
    </row>
    <row r="64" spans="1:32" x14ac:dyDescent="0.25">
      <c r="A64" s="11">
        <f t="shared" si="6"/>
        <v>27.333333333333332</v>
      </c>
      <c r="B64" s="8">
        <f t="shared" si="4"/>
        <v>82</v>
      </c>
      <c r="C64" s="2">
        <f>SUM(INDEX(64:64,4):INDEX(64:64,COLUMNS(64:64)))</f>
        <v>82</v>
      </c>
      <c r="D64" s="12" t="s">
        <v>14</v>
      </c>
      <c r="E64" s="14">
        <v>28</v>
      </c>
      <c r="F64" s="14"/>
      <c r="G64" s="9">
        <v>23</v>
      </c>
      <c r="I64" s="9">
        <v>31</v>
      </c>
      <c r="J64" s="13"/>
      <c r="K64" s="13"/>
      <c r="Q64" s="13"/>
      <c r="R64" s="13"/>
      <c r="X64" s="13"/>
      <c r="Y64" s="13"/>
      <c r="AE64" s="13"/>
      <c r="AF64" s="13"/>
    </row>
    <row r="65" spans="1:32" x14ac:dyDescent="0.25">
      <c r="A65" s="11">
        <f t="shared" si="6"/>
        <v>25</v>
      </c>
      <c r="B65" s="8">
        <f t="shared" si="4"/>
        <v>75</v>
      </c>
      <c r="C65" s="2">
        <f>SUM(INDEX(65:65,4):INDEX(65:65,COLUMNS(65:65)))</f>
        <v>75</v>
      </c>
      <c r="D65" s="12" t="s">
        <v>15</v>
      </c>
      <c r="E65" s="14">
        <v>25</v>
      </c>
      <c r="F65" s="14"/>
      <c r="G65" s="9">
        <v>20</v>
      </c>
      <c r="I65" s="9">
        <v>30</v>
      </c>
      <c r="J65" s="13"/>
      <c r="K65" s="13"/>
      <c r="Q65" s="13"/>
      <c r="R65" s="13"/>
      <c r="X65" s="13"/>
      <c r="Y65" s="13"/>
      <c r="AE65" s="13"/>
      <c r="AF65" s="13"/>
    </row>
    <row r="66" spans="1:32" x14ac:dyDescent="0.25">
      <c r="A66" s="11">
        <f t="shared" si="6"/>
        <v>29.333333333333332</v>
      </c>
      <c r="B66" s="8">
        <f t="shared" si="4"/>
        <v>88</v>
      </c>
      <c r="C66" s="2">
        <f>SUM(INDEX(66:66,4):INDEX(66:66,COLUMNS(66:66)))</f>
        <v>88</v>
      </c>
      <c r="D66" s="12" t="s">
        <v>16</v>
      </c>
      <c r="E66" s="14">
        <v>24</v>
      </c>
      <c r="F66" s="14"/>
      <c r="G66" s="9">
        <v>30</v>
      </c>
      <c r="I66" s="9">
        <v>34</v>
      </c>
      <c r="J66" s="13"/>
      <c r="K66" s="13"/>
      <c r="Q66" s="13"/>
      <c r="R66" s="13"/>
      <c r="X66" s="13"/>
      <c r="Y66" s="13"/>
      <c r="AE66" s="13"/>
      <c r="AF66" s="13"/>
    </row>
    <row r="67" spans="1:32" x14ac:dyDescent="0.25">
      <c r="A67" s="11">
        <f t="shared" si="6"/>
        <v>24.333333333333332</v>
      </c>
      <c r="B67" s="8">
        <f t="shared" si="4"/>
        <v>73</v>
      </c>
      <c r="C67" s="2">
        <f>SUM(INDEX(67:67,4):INDEX(67:67,COLUMNS(67:67)))</f>
        <v>73</v>
      </c>
      <c r="D67" s="12" t="s">
        <v>17</v>
      </c>
      <c r="E67" s="14">
        <v>33</v>
      </c>
      <c r="F67" s="14"/>
      <c r="G67" s="9">
        <v>20</v>
      </c>
      <c r="I67" s="9">
        <v>20</v>
      </c>
      <c r="J67" s="13"/>
      <c r="K67" s="13"/>
      <c r="Q67" s="13"/>
      <c r="R67" s="13"/>
      <c r="X67" s="13"/>
      <c r="Y67" s="13"/>
      <c r="AE67" s="13"/>
      <c r="AF67" s="13"/>
    </row>
    <row r="68" spans="1:32" x14ac:dyDescent="0.25">
      <c r="A68" s="11">
        <f t="shared" ref="A68:A93" si="7">B68/5</f>
        <v>21</v>
      </c>
      <c r="B68" s="8">
        <f t="shared" si="4"/>
        <v>105</v>
      </c>
      <c r="C68" s="2">
        <f>SUM(INDEX(68:68,4):INDEX(68:68,COLUMNS(68:68)))</f>
        <v>105</v>
      </c>
      <c r="D68" s="12" t="s">
        <v>18</v>
      </c>
      <c r="E68" s="14">
        <v>41</v>
      </c>
      <c r="F68" s="14">
        <v>15</v>
      </c>
      <c r="G68" s="9">
        <v>16</v>
      </c>
      <c r="H68" s="9">
        <v>13</v>
      </c>
      <c r="I68" s="9">
        <v>20</v>
      </c>
      <c r="J68" s="13"/>
      <c r="K68" s="13"/>
      <c r="Q68" s="13"/>
      <c r="R68" s="13"/>
      <c r="X68" s="13"/>
      <c r="Y68" s="13"/>
      <c r="AE68" s="13"/>
      <c r="AF68" s="13"/>
    </row>
    <row r="69" spans="1:32" x14ac:dyDescent="0.25">
      <c r="A69" s="11">
        <f t="shared" si="7"/>
        <v>21.2</v>
      </c>
      <c r="B69" s="8">
        <f t="shared" si="4"/>
        <v>106</v>
      </c>
      <c r="C69" s="2">
        <f>SUM(INDEX(69:69,4):INDEX(69:69,COLUMNS(69:69)))</f>
        <v>106</v>
      </c>
      <c r="D69" s="12" t="s">
        <v>19</v>
      </c>
      <c r="E69" s="14">
        <v>41</v>
      </c>
      <c r="F69" s="14">
        <v>18</v>
      </c>
      <c r="G69" s="9">
        <v>17</v>
      </c>
      <c r="H69" s="9">
        <v>14</v>
      </c>
      <c r="I69" s="9">
        <v>16</v>
      </c>
      <c r="J69" s="13"/>
      <c r="K69" s="13"/>
      <c r="Q69" s="13"/>
      <c r="R69" s="13"/>
      <c r="X69" s="13"/>
      <c r="Y69" s="13"/>
      <c r="AE69" s="13"/>
      <c r="AF69" s="13"/>
    </row>
    <row r="70" spans="1:32" x14ac:dyDescent="0.25">
      <c r="A70" s="11">
        <f>B70/3</f>
        <v>22.333333333333332</v>
      </c>
      <c r="B70" s="8">
        <f t="shared" si="4"/>
        <v>67</v>
      </c>
      <c r="C70" s="2">
        <f>SUM(INDEX(70:70,4):INDEX(70:70,COLUMNS(70:70)))</f>
        <v>67</v>
      </c>
      <c r="D70" s="12" t="s">
        <v>20</v>
      </c>
      <c r="E70" s="15">
        <v>22</v>
      </c>
      <c r="F70" s="14"/>
      <c r="G70" s="9">
        <v>21</v>
      </c>
      <c r="I70" s="9">
        <v>24</v>
      </c>
      <c r="J70" s="13"/>
      <c r="K70" s="13"/>
      <c r="Q70" s="13"/>
      <c r="R70" s="13"/>
      <c r="X70" s="13"/>
      <c r="Y70" s="13"/>
      <c r="AE70" s="13"/>
      <c r="AF70" s="13"/>
    </row>
    <row r="71" spans="1:32" x14ac:dyDescent="0.25">
      <c r="A71" s="11">
        <f>B71/3</f>
        <v>38.666666666666664</v>
      </c>
      <c r="B71" s="8">
        <f t="shared" si="4"/>
        <v>116</v>
      </c>
      <c r="C71" s="2">
        <f>SUM(INDEX(71:71,4):INDEX(71:71,COLUMNS(71:71)))</f>
        <v>116</v>
      </c>
      <c r="D71" s="12" t="s">
        <v>21</v>
      </c>
      <c r="E71" s="15">
        <v>36</v>
      </c>
      <c r="F71" s="14"/>
      <c r="G71" s="9">
        <v>32</v>
      </c>
      <c r="I71" s="9">
        <v>48</v>
      </c>
      <c r="J71" s="13"/>
      <c r="K71" s="13"/>
      <c r="Q71" s="13"/>
      <c r="R71" s="13"/>
      <c r="X71" s="13"/>
      <c r="Y71" s="13"/>
      <c r="AE71" s="13"/>
      <c r="AF71" s="13"/>
    </row>
    <row r="72" spans="1:32" x14ac:dyDescent="0.25">
      <c r="A72" s="11">
        <f t="shared" si="7"/>
        <v>32</v>
      </c>
      <c r="B72" s="8">
        <f t="shared" si="4"/>
        <v>160</v>
      </c>
      <c r="C72" s="2">
        <f>SUM(INDEX(72:72,4):INDEX(72:72,COLUMNS(72:72)))</f>
        <v>160</v>
      </c>
      <c r="D72" s="12" t="s">
        <v>22</v>
      </c>
      <c r="E72" s="15">
        <v>39</v>
      </c>
      <c r="F72" s="14">
        <v>29</v>
      </c>
      <c r="G72" s="9">
        <v>30</v>
      </c>
      <c r="H72" s="9">
        <v>29</v>
      </c>
      <c r="I72" s="9">
        <v>33</v>
      </c>
      <c r="J72" s="13"/>
      <c r="K72" s="13"/>
      <c r="Q72" s="13"/>
      <c r="R72" s="13"/>
      <c r="X72" s="13"/>
      <c r="Y72" s="13"/>
      <c r="AE72" s="13"/>
      <c r="AF72" s="13"/>
    </row>
    <row r="73" spans="1:32" x14ac:dyDescent="0.25">
      <c r="A73" s="11">
        <f>B73/2</f>
        <v>32.5</v>
      </c>
      <c r="B73" s="8">
        <f t="shared" si="4"/>
        <v>65</v>
      </c>
      <c r="C73" s="2">
        <f>SUM(INDEX(73:73,4):INDEX(73:73,COLUMNS(73:73)))</f>
        <v>65</v>
      </c>
      <c r="D73" s="12" t="s">
        <v>23</v>
      </c>
      <c r="E73" s="14"/>
      <c r="F73" s="15">
        <v>48</v>
      </c>
      <c r="H73" s="9">
        <v>17</v>
      </c>
      <c r="J73" s="13"/>
      <c r="K73" s="13"/>
      <c r="Q73" s="13"/>
      <c r="R73" s="13"/>
      <c r="X73" s="13"/>
      <c r="Y73" s="13"/>
      <c r="AE73" s="13"/>
      <c r="AF73" s="13"/>
    </row>
    <row r="74" spans="1:32" x14ac:dyDescent="0.25">
      <c r="A74" s="11">
        <f>B74/3</f>
        <v>34.666666666666664</v>
      </c>
      <c r="B74" s="8">
        <f t="shared" si="4"/>
        <v>104</v>
      </c>
      <c r="C74" s="2">
        <f>SUM(INDEX(74:74,4):INDEX(74:74,COLUMNS(74:74)))</f>
        <v>104</v>
      </c>
      <c r="D74" s="12" t="s">
        <v>24</v>
      </c>
      <c r="E74" s="14">
        <v>37</v>
      </c>
      <c r="F74" s="14"/>
      <c r="G74" s="9">
        <v>30</v>
      </c>
      <c r="I74" s="9">
        <v>37</v>
      </c>
      <c r="J74" s="13"/>
      <c r="K74" s="13"/>
      <c r="Q74" s="13"/>
      <c r="R74" s="13"/>
      <c r="X74" s="13"/>
      <c r="Y74" s="13"/>
      <c r="AE74" s="13"/>
      <c r="AF74" s="13"/>
    </row>
    <row r="75" spans="1:32" x14ac:dyDescent="0.25">
      <c r="A75" s="11">
        <f>B75/3</f>
        <v>28</v>
      </c>
      <c r="B75" s="8">
        <f t="shared" si="4"/>
        <v>84</v>
      </c>
      <c r="C75" s="2">
        <f>SUM(INDEX(75:75,4):INDEX(75:75,COLUMNS(75:75)))</f>
        <v>84</v>
      </c>
      <c r="D75" s="12" t="s">
        <v>25</v>
      </c>
      <c r="E75" s="15">
        <v>26</v>
      </c>
      <c r="F75" s="14"/>
      <c r="G75" s="9">
        <v>42</v>
      </c>
      <c r="I75" s="9">
        <v>16</v>
      </c>
      <c r="J75" s="13"/>
      <c r="K75" s="13"/>
      <c r="Q75" s="13"/>
      <c r="R75" s="13"/>
      <c r="X75" s="13"/>
      <c r="Y75" s="13"/>
      <c r="AE75" s="13"/>
      <c r="AF75" s="13"/>
    </row>
    <row r="76" spans="1:32" x14ac:dyDescent="0.25">
      <c r="A76" s="11">
        <f>B76/3</f>
        <v>45</v>
      </c>
      <c r="B76" s="8">
        <f t="shared" si="4"/>
        <v>135</v>
      </c>
      <c r="C76" s="2">
        <f>SUM(INDEX(76:76,4):INDEX(76:76,COLUMNS(76:76)))</f>
        <v>135</v>
      </c>
      <c r="D76" s="12" t="s">
        <v>26</v>
      </c>
      <c r="E76" s="14">
        <v>51</v>
      </c>
      <c r="F76" s="14"/>
      <c r="G76" s="9">
        <v>20</v>
      </c>
      <c r="I76" s="9">
        <v>64</v>
      </c>
      <c r="J76" s="13"/>
      <c r="K76" s="13"/>
      <c r="Q76" s="13"/>
      <c r="R76" s="13"/>
      <c r="X76" s="13"/>
      <c r="Y76" s="13"/>
      <c r="AE76" s="13"/>
      <c r="AF76" s="13"/>
    </row>
    <row r="77" spans="1:32" x14ac:dyDescent="0.25">
      <c r="A77" s="11">
        <f>B77/3</f>
        <v>17.333333333333332</v>
      </c>
      <c r="B77" s="8">
        <f t="shared" si="4"/>
        <v>52</v>
      </c>
      <c r="C77" s="2">
        <f>SUM(INDEX(77:77,4):INDEX(77:77,COLUMNS(77:77)))</f>
        <v>52</v>
      </c>
      <c r="D77" s="12" t="s">
        <v>27</v>
      </c>
      <c r="E77" s="15">
        <v>16</v>
      </c>
      <c r="F77" s="14"/>
      <c r="G77" s="9">
        <v>23</v>
      </c>
      <c r="H77" s="9">
        <v>1</v>
      </c>
      <c r="I77" s="9">
        <v>12</v>
      </c>
      <c r="J77" s="13"/>
      <c r="K77" s="13"/>
      <c r="Q77" s="13"/>
      <c r="R77" s="13"/>
      <c r="X77" s="13"/>
      <c r="Y77" s="13"/>
      <c r="AE77" s="13"/>
      <c r="AF77" s="13"/>
    </row>
    <row r="78" spans="1:32" x14ac:dyDescent="0.25">
      <c r="A78" s="11">
        <f>B78/3</f>
        <v>28.333333333333332</v>
      </c>
      <c r="B78" s="8">
        <f t="shared" si="4"/>
        <v>85</v>
      </c>
      <c r="C78" s="2">
        <f>SUM(INDEX(78:78,4):INDEX(78:78,COLUMNS(78:78)))</f>
        <v>85</v>
      </c>
      <c r="D78" s="12" t="s">
        <v>28</v>
      </c>
      <c r="E78" s="14">
        <v>19</v>
      </c>
      <c r="F78" s="14"/>
      <c r="G78" s="9">
        <v>30</v>
      </c>
      <c r="H78" s="9">
        <v>9</v>
      </c>
      <c r="I78" s="9">
        <v>27</v>
      </c>
      <c r="J78" s="13"/>
      <c r="K78" s="13"/>
      <c r="Q78" s="13"/>
      <c r="R78" s="13"/>
      <c r="X78" s="13"/>
      <c r="Y78" s="13"/>
      <c r="AE78" s="13"/>
      <c r="AF78" s="13"/>
    </row>
    <row r="79" spans="1:32" x14ac:dyDescent="0.25">
      <c r="A79" s="11">
        <f t="shared" si="7"/>
        <v>32</v>
      </c>
      <c r="B79" s="8">
        <f t="shared" si="4"/>
        <v>160</v>
      </c>
      <c r="C79" s="2">
        <f>SUM(INDEX(79:79,4):INDEX(79:79,COLUMNS(79:79)))</f>
        <v>160</v>
      </c>
      <c r="D79" s="12" t="s">
        <v>29</v>
      </c>
      <c r="E79" s="14">
        <v>58</v>
      </c>
      <c r="F79" s="14">
        <v>11</v>
      </c>
      <c r="G79" s="9">
        <v>17</v>
      </c>
      <c r="H79" s="9">
        <v>48</v>
      </c>
      <c r="I79" s="9">
        <v>26</v>
      </c>
      <c r="J79" s="13"/>
      <c r="K79" s="13"/>
      <c r="Q79" s="13"/>
      <c r="R79" s="13"/>
      <c r="X79" s="13"/>
      <c r="Y79" s="13"/>
      <c r="AE79" s="13"/>
      <c r="AF79" s="13"/>
    </row>
    <row r="80" spans="1:32" x14ac:dyDescent="0.25">
      <c r="A80" s="11">
        <f>B80/2</f>
        <v>32.5</v>
      </c>
      <c r="B80" s="8">
        <f t="shared" si="4"/>
        <v>65</v>
      </c>
      <c r="C80" s="2">
        <f>SUM(INDEX(80:80,4):INDEX(80:80,COLUMNS(80:80)))</f>
        <v>65</v>
      </c>
      <c r="D80" s="12" t="s">
        <v>30</v>
      </c>
      <c r="E80" s="14"/>
      <c r="F80" s="14">
        <v>39</v>
      </c>
      <c r="H80" s="9">
        <v>26</v>
      </c>
      <c r="J80" s="13"/>
      <c r="K80" s="13"/>
      <c r="Q80" s="13"/>
      <c r="R80" s="13"/>
      <c r="X80" s="13"/>
      <c r="Y80" s="13"/>
      <c r="AE80" s="13"/>
      <c r="AF80" s="13"/>
    </row>
    <row r="81" spans="1:32" x14ac:dyDescent="0.25">
      <c r="A81" s="11">
        <f>B81/2</f>
        <v>10</v>
      </c>
      <c r="B81" s="8">
        <f t="shared" si="4"/>
        <v>20</v>
      </c>
      <c r="C81" s="2">
        <f>SUM(INDEX(81:81,4):INDEX(81:81,COLUMNS(81:81)))</f>
        <v>20</v>
      </c>
      <c r="D81" s="12" t="s">
        <v>31</v>
      </c>
      <c r="E81" s="14"/>
      <c r="F81" s="14">
        <v>14</v>
      </c>
      <c r="H81" s="9">
        <v>6</v>
      </c>
      <c r="J81" s="13"/>
      <c r="K81" s="13"/>
      <c r="Q81" s="13"/>
      <c r="R81" s="13"/>
      <c r="X81" s="13"/>
      <c r="Y81" s="13"/>
      <c r="AE81" s="13"/>
      <c r="AF81" s="13"/>
    </row>
    <row r="82" spans="1:32" x14ac:dyDescent="0.25">
      <c r="A82" s="11">
        <f>B82/2</f>
        <v>8.5</v>
      </c>
      <c r="B82" s="8">
        <f t="shared" si="4"/>
        <v>17</v>
      </c>
      <c r="C82" s="2">
        <f>SUM(INDEX(82:82,4):INDEX(82:82,COLUMNS(82:82)))</f>
        <v>17</v>
      </c>
      <c r="D82" s="12" t="s">
        <v>52</v>
      </c>
      <c r="E82" s="14"/>
      <c r="F82" s="14">
        <v>10</v>
      </c>
      <c r="H82" s="9">
        <v>7</v>
      </c>
      <c r="J82" s="13"/>
      <c r="K82" s="13"/>
      <c r="Q82" s="13"/>
      <c r="R82" s="13"/>
      <c r="X82" s="13"/>
      <c r="Y82" s="13"/>
      <c r="AE82" s="13"/>
      <c r="AF82" s="13"/>
    </row>
    <row r="83" spans="1:32" x14ac:dyDescent="0.25">
      <c r="A83" s="11">
        <f t="shared" si="7"/>
        <v>1.2</v>
      </c>
      <c r="B83" s="8">
        <f t="shared" si="4"/>
        <v>6</v>
      </c>
      <c r="C83" s="2">
        <f>SUM(INDEX(83:83,4):INDEX(83:83,COLUMNS(83:83)))</f>
        <v>6</v>
      </c>
      <c r="D83" s="16" t="s">
        <v>49</v>
      </c>
      <c r="E83" s="14"/>
      <c r="F83" s="14"/>
      <c r="H83" s="9">
        <v>6</v>
      </c>
      <c r="J83" s="13"/>
      <c r="K83" s="13"/>
      <c r="Q83" s="13"/>
      <c r="R83" s="13"/>
      <c r="X83" s="13"/>
      <c r="Y83" s="13"/>
      <c r="AE83" s="13"/>
      <c r="AF83" s="13"/>
    </row>
    <row r="84" spans="1:32" x14ac:dyDescent="0.25">
      <c r="A84" s="11">
        <f t="shared" si="7"/>
        <v>5.2</v>
      </c>
      <c r="B84" s="8">
        <f t="shared" si="4"/>
        <v>26</v>
      </c>
      <c r="C84" s="2">
        <f>SUM(INDEX(84:84,4):INDEX(84:84,COLUMNS(84:84)))</f>
        <v>26</v>
      </c>
      <c r="D84" s="16" t="s">
        <v>50</v>
      </c>
      <c r="E84" s="14">
        <v>8</v>
      </c>
      <c r="F84" s="14"/>
      <c r="H84" s="9">
        <v>9</v>
      </c>
      <c r="I84" s="9">
        <v>9</v>
      </c>
      <c r="J84" s="13"/>
      <c r="K84" s="13"/>
      <c r="Q84" s="13"/>
      <c r="R84" s="13"/>
      <c r="X84" s="13"/>
      <c r="Y84" s="13"/>
      <c r="AE84" s="13"/>
      <c r="AF84" s="13"/>
    </row>
    <row r="85" spans="1:32" x14ac:dyDescent="0.25">
      <c r="A85" s="11">
        <f t="shared" si="7"/>
        <v>4.5999999999999996</v>
      </c>
      <c r="B85" s="8">
        <f t="shared" si="4"/>
        <v>23</v>
      </c>
      <c r="C85" s="2">
        <f>SUM(INDEX(85:85,4):INDEX(85:85,COLUMNS(85:85)))</f>
        <v>23</v>
      </c>
      <c r="D85" s="16" t="s">
        <v>51</v>
      </c>
      <c r="H85" s="9">
        <v>23</v>
      </c>
      <c r="J85" s="13"/>
      <c r="K85" s="13"/>
      <c r="Q85" s="13"/>
      <c r="R85" s="13"/>
      <c r="X85" s="13"/>
      <c r="Y85" s="13"/>
      <c r="AE85" s="13"/>
      <c r="AF85" s="13"/>
    </row>
    <row r="86" spans="1:32" x14ac:dyDescent="0.25">
      <c r="A86" s="11">
        <f t="shared" si="7"/>
        <v>8.4</v>
      </c>
      <c r="B86" s="8">
        <f t="shared" si="4"/>
        <v>42</v>
      </c>
      <c r="C86" s="2">
        <f>SUM(INDEX(86:86,4):INDEX(86:86,COLUMNS(86:86)))</f>
        <v>42</v>
      </c>
      <c r="D86" s="16" t="s">
        <v>53</v>
      </c>
      <c r="H86" s="9">
        <v>42</v>
      </c>
      <c r="J86" s="13"/>
      <c r="K86" s="13"/>
      <c r="Q86" s="13"/>
      <c r="R86" s="13"/>
      <c r="X86" s="13"/>
      <c r="Y86" s="13"/>
      <c r="AE86" s="13"/>
      <c r="AF86" s="13"/>
    </row>
    <row r="87" spans="1:32" x14ac:dyDescent="0.25">
      <c r="A87" s="11">
        <f t="shared" si="7"/>
        <v>8</v>
      </c>
      <c r="B87" s="8">
        <f t="shared" si="4"/>
        <v>40</v>
      </c>
      <c r="C87" s="2">
        <f>SUM(INDEX(87:87,4):INDEX(87:87,COLUMNS(87:87)))</f>
        <v>40</v>
      </c>
      <c r="D87" s="17" t="s">
        <v>58</v>
      </c>
      <c r="E87" s="9">
        <v>1</v>
      </c>
      <c r="F87" s="9">
        <v>38</v>
      </c>
      <c r="G87" s="9">
        <v>1</v>
      </c>
      <c r="J87" s="13"/>
      <c r="K87" s="13"/>
      <c r="Q87" s="13"/>
      <c r="R87" s="13"/>
      <c r="X87" s="13"/>
      <c r="Y87" s="13"/>
      <c r="AE87" s="13"/>
      <c r="AF87" s="13"/>
    </row>
    <row r="88" spans="1:32" x14ac:dyDescent="0.25">
      <c r="A88" s="11">
        <f t="shared" si="7"/>
        <v>0.8</v>
      </c>
      <c r="B88" s="8">
        <f t="shared" si="4"/>
        <v>4</v>
      </c>
      <c r="C88" s="2">
        <f>SUM(INDEX(88:88,4):INDEX(88:88,COLUMNS(88:88)))</f>
        <v>4</v>
      </c>
      <c r="D88" s="16" t="s">
        <v>59</v>
      </c>
      <c r="I88" s="9">
        <v>4</v>
      </c>
      <c r="J88" s="13"/>
      <c r="K88" s="13"/>
      <c r="Q88" s="13"/>
      <c r="R88" s="13"/>
      <c r="X88" s="13"/>
      <c r="Y88" s="13"/>
      <c r="AE88" s="13"/>
      <c r="AF88" s="13"/>
    </row>
    <row r="89" spans="1:32" x14ac:dyDescent="0.25">
      <c r="A89" s="11">
        <f t="shared" si="7"/>
        <v>1.2</v>
      </c>
      <c r="B89" s="8">
        <f t="shared" si="4"/>
        <v>6</v>
      </c>
      <c r="C89" s="2">
        <f>SUM(INDEX(89:89,4):INDEX(89:89,COLUMNS(89:89)))</f>
        <v>6</v>
      </c>
      <c r="D89" s="16" t="s">
        <v>61</v>
      </c>
      <c r="I89" s="9">
        <v>6</v>
      </c>
      <c r="J89" s="13"/>
      <c r="K89" s="13"/>
      <c r="Q89" s="13"/>
      <c r="R89" s="13"/>
      <c r="X89" s="13"/>
      <c r="Y89" s="13"/>
      <c r="AE89" s="13"/>
      <c r="AF89" s="13"/>
    </row>
    <row r="90" spans="1:32" x14ac:dyDescent="0.25">
      <c r="A90" s="11">
        <f t="shared" si="7"/>
        <v>5</v>
      </c>
      <c r="B90" s="8">
        <f t="shared" si="4"/>
        <v>25</v>
      </c>
      <c r="C90" s="2">
        <f>SUM(INDEX(90:90,4):INDEX(90:90,COLUMNS(90:90)))</f>
        <v>25</v>
      </c>
      <c r="D90" s="16" t="s">
        <v>62</v>
      </c>
      <c r="I90" s="9">
        <v>25</v>
      </c>
      <c r="J90" s="13"/>
      <c r="K90" s="13"/>
      <c r="Q90" s="13"/>
      <c r="R90" s="13"/>
      <c r="X90" s="13"/>
      <c r="Y90" s="13"/>
      <c r="AE90" s="13"/>
      <c r="AF90" s="13"/>
    </row>
    <row r="91" spans="1:32" x14ac:dyDescent="0.25">
      <c r="A91" s="11">
        <f t="shared" si="7"/>
        <v>6.2</v>
      </c>
      <c r="B91" s="8">
        <f t="shared" si="4"/>
        <v>31</v>
      </c>
      <c r="C91" s="2">
        <f>SUM(INDEX(91:91,4):INDEX(91:91,COLUMNS(91:91)))</f>
        <v>31</v>
      </c>
      <c r="D91" s="16" t="s">
        <v>63</v>
      </c>
      <c r="F91" s="9">
        <v>31</v>
      </c>
      <c r="J91" s="13"/>
      <c r="K91" s="13"/>
      <c r="Q91" s="13"/>
      <c r="R91" s="13"/>
      <c r="X91" s="13"/>
      <c r="Y91" s="13"/>
      <c r="AE91" s="13"/>
      <c r="AF91" s="13"/>
    </row>
    <row r="92" spans="1:32" x14ac:dyDescent="0.25">
      <c r="A92" s="11">
        <f t="shared" si="7"/>
        <v>0.6</v>
      </c>
      <c r="B92" s="8">
        <f t="shared" si="4"/>
        <v>3</v>
      </c>
      <c r="C92" s="2">
        <f>SUM(INDEX(92:92,4):INDEX(92:92,COLUMNS(92:92)))</f>
        <v>3</v>
      </c>
      <c r="D92" s="16" t="s">
        <v>64</v>
      </c>
      <c r="E92" s="9">
        <v>3</v>
      </c>
      <c r="J92" s="13"/>
      <c r="K92" s="13"/>
      <c r="Q92" s="13"/>
      <c r="R92" s="13"/>
      <c r="X92" s="13"/>
      <c r="Y92" s="13"/>
      <c r="AE92" s="13"/>
      <c r="AF92" s="13"/>
    </row>
    <row r="93" spans="1:32" x14ac:dyDescent="0.25">
      <c r="A93" s="11">
        <f t="shared" si="7"/>
        <v>0.6</v>
      </c>
      <c r="B93" s="8">
        <f t="shared" si="4"/>
        <v>3</v>
      </c>
      <c r="C93" s="2">
        <f>SUM(INDEX(93:93,4):INDEX(93:93,COLUMNS(93:93)))</f>
        <v>3</v>
      </c>
      <c r="D93" s="16" t="s">
        <v>65</v>
      </c>
      <c r="E93" s="9">
        <v>3</v>
      </c>
      <c r="J93" s="13"/>
      <c r="K93" s="13"/>
      <c r="Q93" s="13"/>
      <c r="R93" s="13"/>
      <c r="X93" s="13"/>
      <c r="Y93" s="13"/>
      <c r="AE93" s="13"/>
      <c r="AF93" s="13"/>
    </row>
    <row r="94" spans="1:32" x14ac:dyDescent="0.25">
      <c r="B94" s="8"/>
      <c r="C94" s="2"/>
      <c r="D94" s="15"/>
    </row>
    <row r="95" spans="1:32" x14ac:dyDescent="0.25">
      <c r="B95" s="8" t="s">
        <v>60</v>
      </c>
    </row>
    <row r="96" spans="1:32" x14ac:dyDescent="0.25">
      <c r="B96" s="8"/>
      <c r="D96" s="3" t="s">
        <v>36</v>
      </c>
      <c r="E96" s="3"/>
      <c r="F96" s="3"/>
    </row>
    <row r="97" spans="1:32" s="1" customFormat="1" x14ac:dyDescent="0.25">
      <c r="A97" s="7" t="s">
        <v>54</v>
      </c>
      <c r="B97" s="7" t="s">
        <v>55</v>
      </c>
      <c r="C97" s="4" t="s">
        <v>32</v>
      </c>
      <c r="D97" s="4" t="s">
        <v>0</v>
      </c>
      <c r="E97" s="5">
        <v>46132</v>
      </c>
      <c r="F97" s="5">
        <v>46133</v>
      </c>
      <c r="G97" s="5">
        <v>46134</v>
      </c>
      <c r="H97" s="5">
        <v>46135</v>
      </c>
      <c r="I97" s="5">
        <v>46136</v>
      </c>
      <c r="J97" s="6">
        <v>46137</v>
      </c>
      <c r="K97" s="6">
        <v>46138</v>
      </c>
      <c r="L97" s="5">
        <v>46139</v>
      </c>
      <c r="M97" s="5">
        <v>46140</v>
      </c>
      <c r="N97" s="5">
        <v>46141</v>
      </c>
      <c r="O97" s="5">
        <v>46142</v>
      </c>
      <c r="P97" s="5">
        <v>46143</v>
      </c>
      <c r="Q97" s="6">
        <v>46144</v>
      </c>
      <c r="R97" s="6">
        <v>46145</v>
      </c>
      <c r="S97" s="5">
        <v>46146</v>
      </c>
      <c r="T97" s="5">
        <v>46147</v>
      </c>
      <c r="U97" s="5">
        <v>46148</v>
      </c>
      <c r="V97" s="5">
        <v>46149</v>
      </c>
      <c r="W97" s="5">
        <v>46150</v>
      </c>
      <c r="X97" s="6">
        <v>46151</v>
      </c>
      <c r="Y97" s="6">
        <v>46152</v>
      </c>
      <c r="Z97" s="5">
        <v>46153</v>
      </c>
      <c r="AA97" s="5">
        <v>46154</v>
      </c>
      <c r="AB97" s="5">
        <v>46155</v>
      </c>
      <c r="AC97" s="5">
        <v>46156</v>
      </c>
      <c r="AD97" s="5">
        <v>46157</v>
      </c>
      <c r="AE97" s="6">
        <v>46158</v>
      </c>
      <c r="AF97" s="6">
        <v>46159</v>
      </c>
    </row>
    <row r="98" spans="1:32" x14ac:dyDescent="0.25">
      <c r="A98" s="8">
        <f>B98/5</f>
        <v>13.4</v>
      </c>
      <c r="B98" s="8">
        <f>C98/$G$1</f>
        <v>67</v>
      </c>
      <c r="C98" s="2">
        <f>SUM(INDEX(98:98,4):INDEX(98:98,COLUMNS(98:98)))</f>
        <v>67</v>
      </c>
      <c r="D98" s="12" t="s">
        <v>37</v>
      </c>
      <c r="E98" s="14">
        <v>17</v>
      </c>
      <c r="F98" s="14">
        <v>10.5</v>
      </c>
      <c r="G98" s="9">
        <v>16.5</v>
      </c>
      <c r="H98" s="9">
        <v>6</v>
      </c>
      <c r="I98" s="9">
        <v>17</v>
      </c>
      <c r="J98" s="13"/>
      <c r="K98" s="13"/>
      <c r="Q98" s="13"/>
      <c r="R98" s="13"/>
      <c r="X98" s="13"/>
      <c r="Y98" s="13"/>
      <c r="AE98" s="13"/>
      <c r="AF98" s="13"/>
    </row>
    <row r="99" spans="1:32" x14ac:dyDescent="0.25">
      <c r="A99" s="8">
        <f t="shared" ref="A99:A108" si="8">B99/5</f>
        <v>18.7</v>
      </c>
      <c r="B99" s="8">
        <f t="shared" ref="B99:B108" si="9">C99/$G$1</f>
        <v>93.5</v>
      </c>
      <c r="C99" s="2">
        <f>SUM(INDEX(99:99,4):INDEX(99:99,COLUMNS(99:99)))</f>
        <v>93.5</v>
      </c>
      <c r="D99" s="16" t="s">
        <v>38</v>
      </c>
      <c r="E99" s="15">
        <v>19</v>
      </c>
      <c r="F99" s="15">
        <v>18</v>
      </c>
      <c r="G99" s="9">
        <v>19</v>
      </c>
      <c r="H99" s="9">
        <v>13</v>
      </c>
      <c r="I99" s="9">
        <v>24.5</v>
      </c>
      <c r="J99" s="13"/>
      <c r="K99" s="13"/>
      <c r="Q99" s="13"/>
      <c r="R99" s="13"/>
      <c r="X99" s="13"/>
      <c r="Y99" s="13"/>
      <c r="AE99" s="13"/>
      <c r="AF99" s="13"/>
    </row>
    <row r="100" spans="1:32" x14ac:dyDescent="0.25">
      <c r="A100" s="8">
        <f t="shared" si="8"/>
        <v>12.5</v>
      </c>
      <c r="B100" s="8">
        <f t="shared" si="9"/>
        <v>62.5</v>
      </c>
      <c r="C100" s="2">
        <f>SUM(INDEX(100:100,4):INDEX(100:100,COLUMNS(100:100)))</f>
        <v>62.5</v>
      </c>
      <c r="D100" s="16" t="s">
        <v>39</v>
      </c>
      <c r="E100" s="15">
        <v>13.5</v>
      </c>
      <c r="F100" s="15">
        <v>14.5</v>
      </c>
      <c r="G100" s="9">
        <v>12</v>
      </c>
      <c r="H100" s="9">
        <v>7</v>
      </c>
      <c r="I100" s="9">
        <v>15.5</v>
      </c>
      <c r="J100" s="13"/>
      <c r="K100" s="13"/>
      <c r="Q100" s="13"/>
      <c r="R100" s="13"/>
      <c r="X100" s="13"/>
      <c r="Y100" s="13"/>
      <c r="AE100" s="13"/>
      <c r="AF100" s="13"/>
    </row>
    <row r="101" spans="1:32" x14ac:dyDescent="0.25">
      <c r="A101" s="8">
        <f t="shared" si="8"/>
        <v>12.5</v>
      </c>
      <c r="B101" s="8">
        <f t="shared" si="9"/>
        <v>62.5</v>
      </c>
      <c r="C101" s="2">
        <f>SUM(INDEX(101:101,4):INDEX(101:101,COLUMNS(101:101)))</f>
        <v>62.5</v>
      </c>
      <c r="D101" s="16" t="s">
        <v>40</v>
      </c>
      <c r="E101" s="15">
        <v>16</v>
      </c>
      <c r="F101" s="15">
        <v>7</v>
      </c>
      <c r="G101" s="9">
        <v>15.5</v>
      </c>
      <c r="H101" s="9">
        <v>6</v>
      </c>
      <c r="I101" s="9">
        <v>18</v>
      </c>
      <c r="J101" s="13"/>
      <c r="K101" s="13"/>
      <c r="Q101" s="13"/>
      <c r="R101" s="13"/>
      <c r="X101" s="13"/>
      <c r="Y101" s="13"/>
      <c r="AE101" s="13"/>
      <c r="AF101" s="13"/>
    </row>
    <row r="102" spans="1:32" x14ac:dyDescent="0.25">
      <c r="A102" s="8">
        <f t="shared" si="8"/>
        <v>11.8</v>
      </c>
      <c r="B102" s="8">
        <f t="shared" si="9"/>
        <v>59</v>
      </c>
      <c r="C102" s="2">
        <f>SUM(INDEX(102:102,4):INDEX(102:102,COLUMNS(102:102)))</f>
        <v>59</v>
      </c>
      <c r="D102" s="16" t="s">
        <v>41</v>
      </c>
      <c r="E102" s="15">
        <v>10</v>
      </c>
      <c r="F102" s="15">
        <v>14</v>
      </c>
      <c r="G102" s="9">
        <v>9</v>
      </c>
      <c r="H102" s="9">
        <v>15</v>
      </c>
      <c r="I102" s="9">
        <v>11</v>
      </c>
      <c r="J102" s="13"/>
      <c r="K102" s="13"/>
      <c r="Q102" s="13"/>
      <c r="R102" s="13"/>
      <c r="X102" s="13"/>
      <c r="Y102" s="13"/>
      <c r="AE102" s="13"/>
      <c r="AF102" s="13"/>
    </row>
    <row r="103" spans="1:32" x14ac:dyDescent="0.25">
      <c r="A103" s="8">
        <f t="shared" si="8"/>
        <v>7.4</v>
      </c>
      <c r="B103" s="8">
        <f t="shared" si="9"/>
        <v>37</v>
      </c>
      <c r="C103" s="2">
        <f>SUM(INDEX(103:103,4):INDEX(103:103,COLUMNS(103:103)))</f>
        <v>37</v>
      </c>
      <c r="D103" s="16" t="s">
        <v>42</v>
      </c>
      <c r="E103" s="15">
        <v>7</v>
      </c>
      <c r="F103" s="15">
        <v>7</v>
      </c>
      <c r="G103" s="9">
        <v>8</v>
      </c>
      <c r="H103" s="9">
        <v>7</v>
      </c>
      <c r="I103" s="9">
        <v>8</v>
      </c>
      <c r="J103" s="13"/>
      <c r="K103" s="13"/>
      <c r="Q103" s="13"/>
      <c r="R103" s="13"/>
      <c r="X103" s="13"/>
      <c r="Y103" s="13"/>
      <c r="AE103" s="13"/>
      <c r="AF103" s="13"/>
    </row>
    <row r="104" spans="1:32" x14ac:dyDescent="0.25">
      <c r="A104" s="8">
        <f t="shared" si="8"/>
        <v>8</v>
      </c>
      <c r="B104" s="8">
        <f t="shared" si="9"/>
        <v>40</v>
      </c>
      <c r="C104" s="2">
        <f>SUM(INDEX(104:104,4):INDEX(104:104,COLUMNS(104:104)))</f>
        <v>40</v>
      </c>
      <c r="D104" s="16" t="s">
        <v>43</v>
      </c>
      <c r="E104" s="15">
        <v>11</v>
      </c>
      <c r="F104" s="15">
        <v>8</v>
      </c>
      <c r="G104" s="9">
        <v>9</v>
      </c>
      <c r="H104" s="9">
        <v>6</v>
      </c>
      <c r="I104" s="9">
        <v>6</v>
      </c>
      <c r="J104" s="13"/>
      <c r="K104" s="13"/>
      <c r="Q104" s="13"/>
      <c r="R104" s="13"/>
      <c r="X104" s="13"/>
      <c r="Y104" s="13"/>
      <c r="AE104" s="13"/>
      <c r="AF104" s="13"/>
    </row>
    <row r="105" spans="1:32" x14ac:dyDescent="0.25">
      <c r="A105" s="8">
        <f t="shared" si="8"/>
        <v>6.7</v>
      </c>
      <c r="B105" s="8">
        <f t="shared" si="9"/>
        <v>33.5</v>
      </c>
      <c r="C105" s="2">
        <f>SUM(INDEX(105:105,4):INDEX(105:105,COLUMNS(105:105)))</f>
        <v>33.5</v>
      </c>
      <c r="D105" s="16" t="s">
        <v>44</v>
      </c>
      <c r="E105" s="15">
        <v>10.5</v>
      </c>
      <c r="F105" s="15"/>
      <c r="H105" s="9">
        <v>10</v>
      </c>
      <c r="I105" s="9">
        <v>13</v>
      </c>
      <c r="J105" s="13"/>
      <c r="K105" s="13"/>
      <c r="Q105" s="13"/>
      <c r="R105" s="13"/>
      <c r="X105" s="13"/>
      <c r="Y105" s="13"/>
      <c r="AE105" s="13"/>
      <c r="AF105" s="13"/>
    </row>
    <row r="106" spans="1:32" x14ac:dyDescent="0.25">
      <c r="A106" s="8">
        <f t="shared" si="8"/>
        <v>8.1999999999999993</v>
      </c>
      <c r="B106" s="8">
        <f t="shared" si="9"/>
        <v>41</v>
      </c>
      <c r="C106" s="2">
        <f>SUM(INDEX(106:106,4):INDEX(106:106,COLUMNS(106:106)))</f>
        <v>41</v>
      </c>
      <c r="D106" s="16" t="s">
        <v>45</v>
      </c>
      <c r="E106" s="15">
        <v>12</v>
      </c>
      <c r="F106" s="15">
        <v>6</v>
      </c>
      <c r="G106" s="9">
        <v>6</v>
      </c>
      <c r="H106" s="9">
        <v>5</v>
      </c>
      <c r="I106" s="9">
        <v>12</v>
      </c>
      <c r="J106" s="13"/>
      <c r="K106" s="13"/>
      <c r="Q106" s="13"/>
      <c r="R106" s="13"/>
      <c r="X106" s="13"/>
      <c r="Y106" s="13"/>
      <c r="AE106" s="13"/>
      <c r="AF106" s="13"/>
    </row>
    <row r="107" spans="1:32" x14ac:dyDescent="0.25">
      <c r="A107" s="8">
        <f t="shared" si="8"/>
        <v>0</v>
      </c>
      <c r="B107" s="8">
        <f t="shared" si="9"/>
        <v>0</v>
      </c>
      <c r="C107" s="2">
        <f>SUM(INDEX(107:107,4):INDEX(107:107,COLUMNS(107:107)))</f>
        <v>0</v>
      </c>
      <c r="D107" s="16" t="s">
        <v>46</v>
      </c>
      <c r="E107" s="15"/>
      <c r="F107" s="15"/>
      <c r="J107" s="13"/>
      <c r="K107" s="13"/>
      <c r="Q107" s="13"/>
      <c r="R107" s="13"/>
      <c r="X107" s="13"/>
      <c r="Y107" s="13"/>
      <c r="AE107" s="13"/>
      <c r="AF107" s="13"/>
    </row>
    <row r="108" spans="1:32" x14ac:dyDescent="0.25">
      <c r="A108" s="8">
        <f t="shared" si="8"/>
        <v>0</v>
      </c>
      <c r="B108" s="8">
        <f t="shared" si="9"/>
        <v>0</v>
      </c>
      <c r="C108" s="2">
        <f>SUM(INDEX(108:108,4):INDEX(108:108,COLUMNS(108:108)))</f>
        <v>0</v>
      </c>
      <c r="D108" s="16" t="s">
        <v>66</v>
      </c>
      <c r="J108" s="13"/>
      <c r="K108" s="13"/>
      <c r="Q108" s="13"/>
      <c r="R108" s="13"/>
      <c r="X108" s="13"/>
      <c r="Y108" s="13"/>
      <c r="AE108" s="13"/>
      <c r="AF108" s="13"/>
    </row>
    <row r="109" spans="1:32" x14ac:dyDescent="0.25">
      <c r="B109" s="8"/>
    </row>
    <row r="110" spans="1:32" x14ac:dyDescent="0.25">
      <c r="B110" s="8"/>
    </row>
    <row r="111" spans="1:32" x14ac:dyDescent="0.25">
      <c r="B111" s="8"/>
    </row>
    <row r="112" spans="1:32" x14ac:dyDescent="0.25">
      <c r="B112" s="8"/>
      <c r="D112" s="3" t="s">
        <v>47</v>
      </c>
      <c r="E112" s="3"/>
      <c r="F112" s="3"/>
    </row>
    <row r="113" spans="1:32" s="1" customFormat="1" x14ac:dyDescent="0.25">
      <c r="A113" s="7" t="s">
        <v>54</v>
      </c>
      <c r="B113" s="7" t="s">
        <v>57</v>
      </c>
      <c r="C113" s="4" t="s">
        <v>35</v>
      </c>
      <c r="D113" s="4" t="s">
        <v>0</v>
      </c>
      <c r="E113" s="5">
        <v>46132</v>
      </c>
      <c r="F113" s="5">
        <v>46133</v>
      </c>
      <c r="G113" s="5">
        <v>46134</v>
      </c>
      <c r="H113" s="5">
        <v>46135</v>
      </c>
      <c r="I113" s="5">
        <v>46136</v>
      </c>
      <c r="J113" s="6">
        <v>46137</v>
      </c>
      <c r="K113" s="6">
        <v>46138</v>
      </c>
      <c r="L113" s="5">
        <v>46139</v>
      </c>
      <c r="M113" s="5">
        <v>46140</v>
      </c>
      <c r="N113" s="5">
        <v>46141</v>
      </c>
      <c r="O113" s="5">
        <v>46142</v>
      </c>
      <c r="P113" s="5">
        <v>46143</v>
      </c>
      <c r="Q113" s="6">
        <v>46144</v>
      </c>
      <c r="R113" s="6">
        <v>46145</v>
      </c>
      <c r="S113" s="5">
        <v>46146</v>
      </c>
      <c r="T113" s="5">
        <v>46147</v>
      </c>
      <c r="U113" s="5">
        <v>46148</v>
      </c>
      <c r="V113" s="5">
        <v>46149</v>
      </c>
      <c r="W113" s="5">
        <v>46150</v>
      </c>
      <c r="X113" s="6">
        <v>46151</v>
      </c>
      <c r="Y113" s="6">
        <v>46152</v>
      </c>
      <c r="Z113" s="5">
        <v>46153</v>
      </c>
      <c r="AA113" s="5">
        <v>46154</v>
      </c>
      <c r="AB113" s="5">
        <v>46155</v>
      </c>
      <c r="AC113" s="5">
        <v>46156</v>
      </c>
      <c r="AD113" s="5">
        <v>46157</v>
      </c>
      <c r="AE113" s="6">
        <v>46158</v>
      </c>
      <c r="AF113" s="6">
        <v>46159</v>
      </c>
    </row>
    <row r="114" spans="1:32" x14ac:dyDescent="0.25">
      <c r="A114" s="8">
        <f>B114/5</f>
        <v>80.599999999999994</v>
      </c>
      <c r="B114" s="8">
        <f>C114/$G$1</f>
        <v>403</v>
      </c>
      <c r="C114" s="2">
        <f>SUM(INDEX(114:114,4):INDEX(114:114,COLUMNS(114:114)))</f>
        <v>403</v>
      </c>
      <c r="D114" s="12" t="s">
        <v>37</v>
      </c>
      <c r="E114" s="14">
        <v>106</v>
      </c>
      <c r="F114" s="14">
        <v>66</v>
      </c>
      <c r="G114" s="9">
        <v>100</v>
      </c>
      <c r="H114" s="9">
        <v>33</v>
      </c>
      <c r="I114" s="9">
        <v>98</v>
      </c>
      <c r="J114" s="13"/>
      <c r="K114" s="13"/>
      <c r="Q114" s="13"/>
      <c r="R114" s="13"/>
      <c r="X114" s="13"/>
      <c r="Y114" s="13"/>
      <c r="AE114" s="13"/>
      <c r="AF114" s="13"/>
    </row>
    <row r="115" spans="1:32" x14ac:dyDescent="0.25">
      <c r="A115" s="8">
        <f t="shared" ref="A115:A124" si="10">B115/5</f>
        <v>98.4</v>
      </c>
      <c r="B115" s="8">
        <f t="shared" ref="B115:B124" si="11">C115/$G$1</f>
        <v>492</v>
      </c>
      <c r="C115" s="2">
        <f>SUM(INDEX(115:115,4):INDEX(115:115,COLUMNS(115:115)))</f>
        <v>492</v>
      </c>
      <c r="D115" s="16" t="s">
        <v>38</v>
      </c>
      <c r="E115" s="15">
        <v>106</v>
      </c>
      <c r="F115" s="15">
        <v>86</v>
      </c>
      <c r="G115" s="9">
        <v>94</v>
      </c>
      <c r="H115" s="9">
        <v>70</v>
      </c>
      <c r="I115" s="9">
        <v>136</v>
      </c>
      <c r="J115" s="13"/>
      <c r="K115" s="13"/>
      <c r="Q115" s="13"/>
      <c r="R115" s="13"/>
      <c r="X115" s="13"/>
      <c r="Y115" s="13"/>
      <c r="AE115" s="13"/>
      <c r="AF115" s="13"/>
    </row>
    <row r="116" spans="1:32" x14ac:dyDescent="0.25">
      <c r="A116" s="8">
        <f t="shared" si="10"/>
        <v>74.8</v>
      </c>
      <c r="B116" s="8">
        <f t="shared" si="11"/>
        <v>374</v>
      </c>
      <c r="C116" s="2">
        <f>SUM(INDEX(116:116,4):INDEX(116:116,COLUMNS(116:116)))</f>
        <v>374</v>
      </c>
      <c r="D116" s="16" t="s">
        <v>39</v>
      </c>
      <c r="E116" s="15">
        <v>88</v>
      </c>
      <c r="F116" s="15">
        <v>90</v>
      </c>
      <c r="G116" s="9">
        <v>70</v>
      </c>
      <c r="H116" s="9">
        <v>42</v>
      </c>
      <c r="I116" s="9">
        <v>84</v>
      </c>
      <c r="J116" s="13"/>
      <c r="K116" s="13"/>
      <c r="Q116" s="13"/>
      <c r="R116" s="13"/>
      <c r="X116" s="13"/>
      <c r="Y116" s="13"/>
      <c r="AE116" s="13"/>
      <c r="AF116" s="13"/>
    </row>
    <row r="117" spans="1:32" x14ac:dyDescent="0.25">
      <c r="A117" s="8">
        <f t="shared" si="10"/>
        <v>70.400000000000006</v>
      </c>
      <c r="B117" s="8">
        <f t="shared" si="11"/>
        <v>352</v>
      </c>
      <c r="C117" s="2">
        <f>SUM(INDEX(117:117,4):INDEX(117:117,COLUMNS(117:117)))</f>
        <v>352</v>
      </c>
      <c r="D117" s="16" t="s">
        <v>40</v>
      </c>
      <c r="E117" s="15">
        <v>95</v>
      </c>
      <c r="F117" s="15">
        <v>44</v>
      </c>
      <c r="G117" s="9">
        <v>81</v>
      </c>
      <c r="H117" s="9">
        <v>35</v>
      </c>
      <c r="I117" s="9">
        <v>97</v>
      </c>
      <c r="J117" s="13"/>
      <c r="K117" s="13"/>
      <c r="Q117" s="13"/>
      <c r="R117" s="13"/>
      <c r="X117" s="13"/>
      <c r="Y117" s="13"/>
      <c r="AE117" s="13"/>
      <c r="AF117" s="13"/>
    </row>
    <row r="118" spans="1:32" x14ac:dyDescent="0.25">
      <c r="A118" s="8">
        <f t="shared" si="10"/>
        <v>64</v>
      </c>
      <c r="B118" s="8">
        <f t="shared" si="11"/>
        <v>320</v>
      </c>
      <c r="C118" s="2">
        <f>SUM(INDEX(118:118,4):INDEX(118:118,COLUMNS(118:118)))</f>
        <v>320</v>
      </c>
      <c r="D118" s="16" t="s">
        <v>41</v>
      </c>
      <c r="E118" s="15">
        <v>60</v>
      </c>
      <c r="F118" s="15">
        <v>69</v>
      </c>
      <c r="G118" s="9">
        <v>51</v>
      </c>
      <c r="H118" s="9">
        <v>80</v>
      </c>
      <c r="I118" s="9">
        <v>60</v>
      </c>
      <c r="J118" s="13"/>
      <c r="K118" s="13"/>
      <c r="Q118" s="13"/>
      <c r="R118" s="13"/>
      <c r="X118" s="13"/>
      <c r="Y118" s="13"/>
      <c r="AE118" s="13"/>
      <c r="AF118" s="13"/>
    </row>
    <row r="119" spans="1:32" x14ac:dyDescent="0.25">
      <c r="A119" s="8">
        <f t="shared" si="10"/>
        <v>35</v>
      </c>
      <c r="B119" s="8">
        <f t="shared" si="11"/>
        <v>175</v>
      </c>
      <c r="C119" s="2">
        <f>SUM(INDEX(119:119,4):INDEX(119:119,COLUMNS(119:119)))</f>
        <v>175</v>
      </c>
      <c r="D119" s="16" t="s">
        <v>42</v>
      </c>
      <c r="E119" s="15">
        <v>35</v>
      </c>
      <c r="F119" s="15">
        <v>28</v>
      </c>
      <c r="G119" s="9">
        <v>43</v>
      </c>
      <c r="H119" s="9">
        <v>35</v>
      </c>
      <c r="I119" s="9">
        <v>34</v>
      </c>
      <c r="J119" s="13"/>
      <c r="K119" s="13"/>
      <c r="Q119" s="13"/>
      <c r="R119" s="13"/>
      <c r="X119" s="13"/>
      <c r="Y119" s="13"/>
      <c r="AE119" s="13"/>
      <c r="AF119" s="13"/>
    </row>
    <row r="120" spans="1:32" x14ac:dyDescent="0.25">
      <c r="A120" s="8">
        <f t="shared" si="10"/>
        <v>47.6</v>
      </c>
      <c r="B120" s="8">
        <f t="shared" si="11"/>
        <v>238</v>
      </c>
      <c r="C120" s="2">
        <f>SUM(INDEX(120:120,4):INDEX(120:120,COLUMNS(120:120)))</f>
        <v>238</v>
      </c>
      <c r="D120" s="16" t="s">
        <v>43</v>
      </c>
      <c r="E120" s="15">
        <v>64</v>
      </c>
      <c r="F120" s="15">
        <v>46</v>
      </c>
      <c r="G120" s="9">
        <v>49</v>
      </c>
      <c r="H120" s="9">
        <v>39</v>
      </c>
      <c r="I120" s="9">
        <v>40</v>
      </c>
      <c r="J120" s="13"/>
      <c r="K120" s="13"/>
      <c r="Q120" s="13"/>
      <c r="R120" s="13"/>
      <c r="X120" s="13"/>
      <c r="Y120" s="13"/>
      <c r="AE120" s="13"/>
      <c r="AF120" s="13"/>
    </row>
    <row r="121" spans="1:32" x14ac:dyDescent="0.25">
      <c r="A121" s="8">
        <f t="shared" si="10"/>
        <v>36.200000000000003</v>
      </c>
      <c r="B121" s="8">
        <f t="shared" si="11"/>
        <v>181</v>
      </c>
      <c r="C121" s="2">
        <f>SUM(INDEX(121:121,4):INDEX(121:121,COLUMNS(121:121)))</f>
        <v>181</v>
      </c>
      <c r="D121" s="16" t="s">
        <v>44</v>
      </c>
      <c r="E121" s="15">
        <v>58</v>
      </c>
      <c r="F121" s="15"/>
      <c r="H121" s="9">
        <v>49</v>
      </c>
      <c r="I121" s="9">
        <v>74</v>
      </c>
      <c r="J121" s="13"/>
      <c r="K121" s="13"/>
      <c r="Q121" s="13"/>
      <c r="R121" s="13"/>
      <c r="X121" s="13"/>
      <c r="Y121" s="13"/>
      <c r="AE121" s="13"/>
      <c r="AF121" s="13"/>
    </row>
    <row r="122" spans="1:32" x14ac:dyDescent="0.25">
      <c r="A122" s="8">
        <f t="shared" si="10"/>
        <v>48</v>
      </c>
      <c r="B122" s="8">
        <f t="shared" si="11"/>
        <v>240</v>
      </c>
      <c r="C122" s="2">
        <f>SUM(INDEX(122:122,4):INDEX(122:122,COLUMNS(122:122)))</f>
        <v>240</v>
      </c>
      <c r="D122" s="16" t="s">
        <v>45</v>
      </c>
      <c r="E122" s="15">
        <v>77</v>
      </c>
      <c r="F122" s="15">
        <v>36</v>
      </c>
      <c r="G122" s="9">
        <v>32</v>
      </c>
      <c r="H122" s="9">
        <v>23</v>
      </c>
      <c r="I122" s="9">
        <v>72</v>
      </c>
      <c r="J122" s="13"/>
      <c r="K122" s="13"/>
      <c r="Q122" s="13"/>
      <c r="R122" s="13"/>
      <c r="X122" s="13"/>
      <c r="Y122" s="13"/>
      <c r="AE122" s="13"/>
      <c r="AF122" s="13"/>
    </row>
    <row r="123" spans="1:32" x14ac:dyDescent="0.25">
      <c r="A123" s="8">
        <f t="shared" si="10"/>
        <v>0</v>
      </c>
      <c r="B123" s="8">
        <f t="shared" si="11"/>
        <v>0</v>
      </c>
      <c r="C123" s="2">
        <f>SUM(INDEX(123:123,4):INDEX(123:123,COLUMNS(123:123)))</f>
        <v>0</v>
      </c>
      <c r="D123" s="16" t="s">
        <v>46</v>
      </c>
      <c r="E123" s="15"/>
      <c r="F123" s="15"/>
      <c r="J123" s="13"/>
      <c r="K123" s="13"/>
      <c r="Q123" s="13"/>
      <c r="R123" s="13"/>
      <c r="X123" s="13"/>
      <c r="Y123" s="13"/>
      <c r="AE123" s="13"/>
      <c r="AF123" s="13"/>
    </row>
    <row r="124" spans="1:32" x14ac:dyDescent="0.25">
      <c r="A124" s="8">
        <f t="shared" si="10"/>
        <v>0</v>
      </c>
      <c r="B124" s="8">
        <f t="shared" si="11"/>
        <v>0</v>
      </c>
      <c r="C124" s="2">
        <f>SUM(INDEX(124:124,4):INDEX(124:124,COLUMNS(124:124)))</f>
        <v>0</v>
      </c>
      <c r="D124" s="16" t="s">
        <v>66</v>
      </c>
      <c r="J124" s="13"/>
      <c r="K124" s="13"/>
      <c r="Q124" s="13"/>
      <c r="R124" s="13"/>
      <c r="X124" s="13"/>
      <c r="Y124" s="13"/>
      <c r="AE124" s="13"/>
      <c r="AF124" s="13"/>
    </row>
  </sheetData>
  <conditionalFormatting sqref="A114:A12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98:A10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1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2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A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51:A9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TMC SHARED SSO</dc:creator>
  <cp:lastModifiedBy>Nason, Jayson</cp:lastModifiedBy>
  <dcterms:created xsi:type="dcterms:W3CDTF">2026-04-22T16:56:19Z</dcterms:created>
  <dcterms:modified xsi:type="dcterms:W3CDTF">2026-04-28T13:25:27Z</dcterms:modified>
</cp:coreProperties>
</file>